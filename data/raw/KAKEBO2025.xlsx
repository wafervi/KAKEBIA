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rreopoliciagov-my.sharepoint.com/personal/wagner_fernandez_correo_policia_gov_co/Documents/Documents/SAGEN-CAFI/"/>
    </mc:Choice>
  </mc:AlternateContent>
  <xr:revisionPtr revIDLastSave="0" documentId="8_{2E8B7E30-776E-47D7-A1D5-E687118D2B7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1-GASTOS MERCADO 2025" sheetId="1" r:id="rId1"/>
    <sheet name="2-GASTOS OCIO U OTROS" sheetId="4" r:id="rId2"/>
    <sheet name="3-TOTAL GASTOS Y SSPP" sheetId="3" r:id="rId3"/>
    <sheet name="4-RESULTADOS TOTALES" sheetId="2" r:id="rId4"/>
  </sheets>
  <definedNames>
    <definedName name="_xlnm._FilterDatabase" localSheetId="0" hidden="1">'1-GASTOS MERCADO 2025'!$D$1:$D$293</definedName>
    <definedName name="_xlnm._FilterDatabase" localSheetId="1" hidden="1">'2-GASTOS OCIO U OTROS'!$A$1:$C$10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K14" i="4" l="1"/>
  <c r="B176" i="3" l="1"/>
  <c r="B177" i="3"/>
  <c r="K13" i="4"/>
  <c r="L14" i="4" s="1"/>
  <c r="M14" i="4" s="1"/>
  <c r="I13" i="1"/>
  <c r="J14" i="1" l="1"/>
  <c r="K14" i="1" s="1"/>
  <c r="K12" i="4"/>
  <c r="L13" i="4" s="1"/>
  <c r="M13" i="4" s="1"/>
  <c r="B163" i="3"/>
  <c r="I12" i="1"/>
  <c r="I11" i="1" l="1"/>
  <c r="B161" i="3" l="1"/>
  <c r="B164" i="3" s="1"/>
  <c r="I6" i="1"/>
  <c r="B56" i="3" s="1"/>
  <c r="B148" i="3"/>
  <c r="B131" i="3"/>
  <c r="K11" i="4"/>
  <c r="B133" i="3" s="1"/>
  <c r="I10" i="1"/>
  <c r="J11" i="1" s="1"/>
  <c r="K11" i="1" s="1"/>
  <c r="K10" i="4"/>
  <c r="I9" i="1"/>
  <c r="B101" i="3" s="1"/>
  <c r="K9" i="4"/>
  <c r="K8" i="4"/>
  <c r="B88" i="3" s="1"/>
  <c r="I8" i="1"/>
  <c r="B86" i="3" s="1"/>
  <c r="B14" i="2"/>
  <c r="I7" i="1"/>
  <c r="B71" i="3" s="1"/>
  <c r="K7" i="4"/>
  <c r="K6" i="4"/>
  <c r="B58" i="3" s="1"/>
  <c r="I5" i="1"/>
  <c r="J6" i="1" s="1"/>
  <c r="K6" i="1" s="1"/>
  <c r="K5" i="4"/>
  <c r="K4" i="4"/>
  <c r="B28" i="3" s="1"/>
  <c r="I4" i="1"/>
  <c r="B25" i="3" s="1"/>
  <c r="K3" i="4"/>
  <c r="I3" i="1"/>
  <c r="B10" i="3" s="1"/>
  <c r="B13" i="3"/>
  <c r="B178" i="3"/>
  <c r="C13" i="2" s="1"/>
  <c r="J18" i="4"/>
  <c r="L10" i="4" l="1"/>
  <c r="M10" i="4" s="1"/>
  <c r="B40" i="3"/>
  <c r="L4" i="4"/>
  <c r="M4" i="4" s="1"/>
  <c r="B134" i="3"/>
  <c r="C10" i="2" s="1"/>
  <c r="J9" i="1"/>
  <c r="K9" i="1" s="1"/>
  <c r="B29" i="3"/>
  <c r="F5" i="3" s="1"/>
  <c r="L5" i="4"/>
  <c r="M5" i="4" s="1"/>
  <c r="L9" i="4"/>
  <c r="M9" i="4" s="1"/>
  <c r="J5" i="1"/>
  <c r="K5" i="1" s="1"/>
  <c r="B118" i="3"/>
  <c r="B14" i="3"/>
  <c r="C2" i="2" s="1"/>
  <c r="L6" i="4"/>
  <c r="M6" i="4" s="1"/>
  <c r="L7" i="4"/>
  <c r="M7" i="4" s="1"/>
  <c r="B89" i="3"/>
  <c r="C7" i="2" s="1"/>
  <c r="L11" i="4"/>
  <c r="M11" i="4" s="1"/>
  <c r="B43" i="3"/>
  <c r="B44" i="3" s="1"/>
  <c r="C4" i="2" s="1"/>
  <c r="F15" i="3"/>
  <c r="J13" i="1"/>
  <c r="K13" i="1" s="1"/>
  <c r="B59" i="3"/>
  <c r="J12" i="1"/>
  <c r="K12" i="1" s="1"/>
  <c r="B116" i="3"/>
  <c r="B119" i="3" s="1"/>
  <c r="J4" i="1"/>
  <c r="K4" i="1" s="1"/>
  <c r="J7" i="1"/>
  <c r="K7" i="1" s="1"/>
  <c r="B73" i="3"/>
  <c r="B74" i="3" s="1"/>
  <c r="B103" i="3"/>
  <c r="B104" i="3" s="1"/>
  <c r="J10" i="1"/>
  <c r="K10" i="1" s="1"/>
  <c r="J8" i="1"/>
  <c r="K8" i="1" s="1"/>
  <c r="L12" i="4"/>
  <c r="M12" i="4" s="1"/>
  <c r="B146" i="3"/>
  <c r="B149" i="3" s="1"/>
  <c r="L8" i="4"/>
  <c r="M8" i="4" s="1"/>
  <c r="C12" i="2"/>
  <c r="F14" i="3"/>
  <c r="F12" i="3" l="1"/>
  <c r="C3" i="2"/>
  <c r="F4" i="3"/>
  <c r="F9" i="3"/>
  <c r="F6" i="3"/>
  <c r="D3" i="2"/>
  <c r="E3" i="2" s="1"/>
  <c r="F8" i="3"/>
  <c r="C6" i="2"/>
  <c r="D7" i="2" s="1"/>
  <c r="E7" i="2" s="1"/>
  <c r="F7" i="3"/>
  <c r="C5" i="2"/>
  <c r="D5" i="2" s="1"/>
  <c r="E5" i="2" s="1"/>
  <c r="F13" i="3"/>
  <c r="C11" i="2"/>
  <c r="D11" i="2" s="1"/>
  <c r="E11" i="2" s="1"/>
  <c r="C9" i="2"/>
  <c r="F11" i="3"/>
  <c r="D4" i="2"/>
  <c r="E4" i="2" s="1"/>
  <c r="C8" i="2"/>
  <c r="D8" i="2" s="1"/>
  <c r="E8" i="2" s="1"/>
  <c r="F10" i="3"/>
  <c r="D13" i="2"/>
  <c r="E13" i="2" s="1"/>
  <c r="D12" i="2" l="1"/>
  <c r="E12" i="2" s="1"/>
  <c r="D9" i="2"/>
  <c r="E9" i="2" s="1"/>
  <c r="D10" i="2"/>
  <c r="E10" i="2" s="1"/>
  <c r="C14" i="2"/>
  <c r="D6" i="2"/>
  <c r="E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tc={A9A40822-FDD5-40CD-8C56-3A742559F045}</author>
    <author>tc={9E7450FA-1139-4F6C-9DC2-0A20A0897CFD}</author>
    <author>tc={84A54F7C-D4F0-419B-BB7A-1E022685E7AA}</author>
    <author>tc={04F2D514-3F9B-4FE6-9E0C-CC937143B927}</author>
    <author>tc={0E514639-9EDC-48D7-AF75-C7A202FA566D}</author>
    <author>DECAQ - WAGNER ALONSO FERNANDEZ VILLALOBOS</author>
    <author>tc={37A9D008-B19E-444C-AC52-3805C05CE5D3}</author>
    <author>tc={1CE1938C-1556-4990-B62D-2C8C00222A4C}</author>
    <author>tc={38ECBD88-B0CE-47D8-8A6D-19548684FADB}</author>
    <author>tc={F9E0B167-B0F9-40AC-9787-836C5E74496A}</author>
    <author>tc={000BB67A-BA6E-4739-AF47-7048C8B5DF87}</author>
    <author>tc={52D64D5D-8F36-4436-A071-A1CAA7E720CB}</author>
    <author>tc={5242F64F-01E0-4E50-BF8F-388705C06F69}</author>
    <author>tc={96E75C04-B034-4723-B2C5-A5B46499EFB0}</author>
    <author>tc={E7F2272C-0B95-4320-AA9A-601B7087C653}</author>
    <author>tc={D02AA7A7-F140-42D2-B156-AE3D6FA0F54D}</author>
    <author>tc={E129035B-73A9-4316-9E33-FF9D077920FF}</author>
    <author>tc={56379802-C4EC-427E-8B07-50B83D387BCE}</author>
    <author>tc={D0FA23C5-3C45-4F5A-B486-0D115FA5C3E6}</author>
    <author>tc={71161D3F-101F-4371-934C-CC98AAFF8A44}</author>
    <author>tc={5AB5CE07-08B9-4CBB-A407-C89659EA9A68}</author>
  </authors>
  <commentList>
    <comment ref="C54" authorId="0" shapeId="0" xr:uid="{00000000-0006-0000-00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de carnes</t>
      </text>
    </comment>
    <comment ref="C59" authorId="1" shapeId="0" xr:uid="{00000000-0006-0000-00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comida semana santa</t>
      </text>
    </comment>
    <comment ref="C60" authorId="2" shapeId="0" xr:uid="{00000000-0006-0000-00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comida semana santa</t>
      </text>
    </comment>
    <comment ref="C62" authorId="3" shapeId="0" xr:uid="{00000000-0006-0000-00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vinagre</t>
      </text>
    </comment>
    <comment ref="C125" authorId="4" shapeId="0" xr:uid="{00000000-0006-0000-00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Huevos criollos</t>
      </text>
    </comment>
    <comment ref="C128" authorId="5" shapeId="0" xr:uid="{00000000-0006-0000-0000-000006000000}">
      <text>
        <r>
          <rPr>
            <b/>
            <sz val="9"/>
            <color indexed="81"/>
            <rFont val="Tahoma"/>
            <family val="2"/>
          </rPr>
          <t>DECAQ - WAGNER ALONSO FERNANDEZ VILLALOBOS:</t>
        </r>
        <r>
          <rPr>
            <sz val="9"/>
            <color indexed="81"/>
            <rFont val="Tahoma"/>
            <family val="2"/>
          </rPr>
          <t xml:space="preserve">
compra de ropa para para Amelia</t>
        </r>
      </text>
    </comment>
    <comment ref="C131" authorId="6" shapeId="0" xr:uid="{00000000-0006-0000-0000-00000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de carnes en carnipol</t>
      </text>
    </comment>
    <comment ref="C161" authorId="7" shapeId="0" xr:uid="{00000000-0006-0000-0000-00000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COSITAS PA ALYS</t>
      </text>
    </comment>
    <comment ref="C162" authorId="8" shapeId="0" xr:uid="{00000000-0006-0000-0000-00000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AKMUERZO DOMINGUERO DE AMOR Y AMIOSTASD</t>
      </text>
    </comment>
    <comment ref="C163" authorId="9" shapeId="0" xr:uid="{00000000-0006-0000-0000-00000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https://share.evernote.com/note/8ee05f71-76ae-f30e-96f0-e2c73b2789b9</t>
      </text>
    </comment>
    <comment ref="C164" authorId="10" shapeId="0" xr:uid="{00000000-0006-0000-0000-00000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https://share.evernote.com/note/8ee05f71-76ae-f30e-96f0-e2c73b2789b9</t>
      </text>
    </comment>
    <comment ref="C177" authorId="11" shapeId="0" xr:uid="{00000000-0006-0000-0000-00000C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PASTILLAS CINDY
ROSAS PA CINDY
FLORES DE DAVID PA LA CASA
COMPRA IGRDIENTE ALMUERZOS
VERDURAS
PILAS AA
Respuesta:
    YA todo fue anotado @WAGNER ALONSO FERNANDEZ VILLALOBOS </t>
      </text>
    </comment>
    <comment ref="C186" authorId="12" shapeId="0" xr:uid="{00000000-0006-0000-0000-00000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 QUITARLE LOS PUNTOS A CINDY CESAREA</t>
      </text>
    </comment>
    <comment ref="C190" authorId="13" shapeId="0" xr:uid="{00000000-0006-0000-0000-00000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 pimentones
06 cebollas cabezonas
04 tomates
01 paquete de buenas noches
06 naranjas tangelo</t>
      </text>
    </comment>
    <comment ref="C194" authorId="14" shapeId="0" xr:uid="{00000000-0006-0000-0000-00000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02 GUANTES
04 GASAS COMPRESORAS</t>
      </text>
    </comment>
    <comment ref="C195" authorId="15" shapeId="0" xr:uid="{00000000-0006-0000-0000-00001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DE SUSTITUTO DE SULFATO FERROSO (AMENIDOX)
COMPRA DE LECHE MAGNESIA PHILLIPS</t>
      </text>
    </comment>
    <comment ref="C215" authorId="16" shapeId="0" xr:uid="{00000000-0006-0000-0000-00001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CILANTRO
TOMATE CHONTO
PASTA LA MUÑECA
PIMENTON
CEBOLLA
BOLSA EMPAQUE</t>
      </text>
    </comment>
    <comment ref="C218" authorId="17" shapeId="0" xr:uid="{00000000-0006-0000-0000-00001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QUESO SALADO
QUESO CUAJADA</t>
      </text>
    </comment>
    <comment ref="C219" authorId="18" shapeId="0" xr:uid="{00000000-0006-0000-0000-00001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HIGADO
CARNE DE CADERA
CARNE LOMO ANCHO
COSTILLA</t>
      </text>
    </comment>
    <comment ref="C226" authorId="19" shapeId="0" xr:uid="{00000000-0006-0000-0000-00001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ACEITE
PASTAS ESPAGUETE
AVENA OJUELAS
ATUN
SALSA NEGRA
LIMON
COLOFLOR
SALCHICHA RANCHERA
ARVEJA VERDE
CHORIZO TERNERA
LECHE
ESPONJAS
BOLSAS PLASTICAS</t>
      </text>
    </comment>
    <comment ref="C231" authorId="5" shapeId="0" xr:uid="{00000000-0006-0000-0000-000015000000}">
      <text>
        <r>
          <rPr>
            <b/>
            <sz val="9"/>
            <color indexed="81"/>
            <rFont val="Tahoma"/>
            <charset val="1"/>
          </rPr>
          <t>DECAQ - WAGNER ALONSO FERNANDEZ VILLALOBOS:</t>
        </r>
        <r>
          <rPr>
            <sz val="9"/>
            <color indexed="81"/>
            <rFont val="Tahoma"/>
            <charset val="1"/>
          </rPr>
          <t xml:space="preserve">
BABYRUB
VICKVAPORU
VITA C
</t>
        </r>
      </text>
    </comment>
    <comment ref="C237" authorId="5" shapeId="0" xr:uid="{00000000-0006-0000-0000-000016000000}">
      <text>
        <r>
          <rPr>
            <b/>
            <sz val="9"/>
            <color indexed="81"/>
            <rFont val="Tahoma"/>
            <charset val="1"/>
          </rPr>
          <t>DECAQ - WAGNER ALONSO FERNANDEZ VILLALOBOS:</t>
        </r>
        <r>
          <rPr>
            <sz val="9"/>
            <color indexed="81"/>
            <rFont val="Tahoma"/>
            <charset val="1"/>
          </rPr>
          <t xml:space="preserve">
LOMO ANCHO}
</t>
        </r>
      </text>
    </comment>
    <comment ref="C245" authorId="20" shapeId="0" xr:uid="{00000000-0006-0000-0000-00001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Crema de leche
Miga de pan
Arveja
Manzana verde
Cebolla larga</t>
      </text>
    </comment>
  </commentList>
</comments>
</file>

<file path=xl/sharedStrings.xml><?xml version="1.0" encoding="utf-8"?>
<sst xmlns="http://schemas.openxmlformats.org/spreadsheetml/2006/main" count="1579" uniqueCount="289">
  <si>
    <t xml:space="preserve">FECHA </t>
  </si>
  <si>
    <t>MONTO</t>
  </si>
  <si>
    <t>DESCRIPCION</t>
  </si>
  <si>
    <t>MES</t>
  </si>
  <si>
    <t>LUGAR</t>
  </si>
  <si>
    <t>ESTABLECIMIENTO</t>
  </si>
  <si>
    <t>MES ENERO</t>
  </si>
  <si>
    <t>MES FEBRERO</t>
  </si>
  <si>
    <t>MES MARZO</t>
  </si>
  <si>
    <t>MES ABRIL</t>
  </si>
  <si>
    <t>MES MAYO</t>
  </si>
  <si>
    <t>MES JUNIO</t>
  </si>
  <si>
    <t>MES JULIO</t>
  </si>
  <si>
    <t>MES AGOSTO</t>
  </si>
  <si>
    <t>MES SEPTIEMBRE</t>
  </si>
  <si>
    <t>MES OCTUBRE</t>
  </si>
  <si>
    <t>MES NOVIEMBRE</t>
  </si>
  <si>
    <t>MES DICIEMBRE</t>
  </si>
  <si>
    <t>ITEM</t>
  </si>
  <si>
    <t>(+)ARRIENDO</t>
  </si>
  <si>
    <t>(+)LUZ</t>
  </si>
  <si>
    <t>(+)AGUA</t>
  </si>
  <si>
    <t>(+)GAS</t>
  </si>
  <si>
    <t>(+)INTERNET</t>
  </si>
  <si>
    <t>(+)PARABOLICA</t>
  </si>
  <si>
    <t>(+)NETFLIX</t>
  </si>
  <si>
    <t>(+)ASEO MORRONGA</t>
  </si>
  <si>
    <t>(+)MERCADO</t>
  </si>
  <si>
    <t>(+)ALMUERZOS x 24 dias</t>
  </si>
  <si>
    <t>(+)CUOTA CARRO</t>
  </si>
  <si>
    <t>(=) TOTAL MES ENERO</t>
  </si>
  <si>
    <t>(=) TOTAL MES FEBRERO</t>
  </si>
  <si>
    <t>(=) TOTAL MES MARZO</t>
  </si>
  <si>
    <t>(=) TOTAL MES ABRIL</t>
  </si>
  <si>
    <t>(=) TOTAL MES MAYO</t>
  </si>
  <si>
    <t>(+) GASTOS VARIOS</t>
  </si>
  <si>
    <t>(=) TOTAL MES  JUNIO</t>
  </si>
  <si>
    <t>(=) TOTAL MES  JULIO</t>
  </si>
  <si>
    <t>(=) TOTAL MES  AGOSTO</t>
  </si>
  <si>
    <t>(=) TOTAL MES  SEPTIEMBRE</t>
  </si>
  <si>
    <t>(=) TOTAL MES OCTUBRE</t>
  </si>
  <si>
    <t>(=) TOTAL MES NOVIEMBRE</t>
  </si>
  <si>
    <t>INGRESOS</t>
  </si>
  <si>
    <t>EGRESOS</t>
  </si>
  <si>
    <t>(=) TOTAL MES DICIEMBRE</t>
  </si>
  <si>
    <t>CONTEXTO</t>
  </si>
  <si>
    <t>TOTAL GASTOS CASA EN OCIO</t>
  </si>
  <si>
    <t>(+)GASTOS POR OCIO</t>
  </si>
  <si>
    <t>COMPRA CARNES</t>
  </si>
  <si>
    <t>ENERO</t>
  </si>
  <si>
    <t>FLORENCIA</t>
  </si>
  <si>
    <t>COMPRA DROGAS</t>
  </si>
  <si>
    <t>COMPRA MERCADO</t>
  </si>
  <si>
    <t>GAFAS</t>
  </si>
  <si>
    <t xml:space="preserve">FLORENCIA </t>
  </si>
  <si>
    <t>CENTRO</t>
  </si>
  <si>
    <t>EJECUCIÓN PLAN VACACIONAL</t>
  </si>
  <si>
    <t>PLAN VACACIONAL</t>
  </si>
  <si>
    <t>COMPRA DE VITAMINAS</t>
  </si>
  <si>
    <t>FEBRERO</t>
  </si>
  <si>
    <t>COMPRA CHORIZOS</t>
  </si>
  <si>
    <t>COMPRA PICADAS CHICHARRON</t>
  </si>
  <si>
    <t xml:space="preserve">CENA </t>
  </si>
  <si>
    <t>CENA DONDE FUENTE</t>
  </si>
  <si>
    <t>FUENTE</t>
  </si>
  <si>
    <t>COMPRA DE CARNES</t>
  </si>
  <si>
    <t>COMPRA DE MERCADO</t>
  </si>
  <si>
    <t>COMPRA BOLSA DE BASURA</t>
  </si>
  <si>
    <t>COMPRA MEDICINA</t>
  </si>
  <si>
    <t>MARZO</t>
  </si>
  <si>
    <t>ALMUERZO PESCADO DONDE EL PAISA</t>
  </si>
  <si>
    <t>PAISA</t>
  </si>
  <si>
    <t>COMPRA CARNE</t>
  </si>
  <si>
    <t>COMPRA FRUTAS</t>
  </si>
  <si>
    <t>ALMUERZO FIN DE SEMANA DANILO</t>
  </si>
  <si>
    <t>TANQUEO CARRO</t>
  </si>
  <si>
    <t>ABRIL</t>
  </si>
  <si>
    <t>PASEO A EL DONCELLO</t>
  </si>
  <si>
    <t>_____</t>
  </si>
  <si>
    <t>FIESTA CUMPLAÑOS CINDY</t>
  </si>
  <si>
    <t>DOS BOCADOS</t>
  </si>
  <si>
    <t>MAYO</t>
  </si>
  <si>
    <t>(+)ASEO DOÑA MARINA</t>
  </si>
  <si>
    <t>COMPRA COMIDA SEMANA SANTA</t>
  </si>
  <si>
    <t>PAGO PASEO SANCOCHO DIRA DANILO</t>
  </si>
  <si>
    <t>COMPRA TORTA DELICAPRICCIO</t>
  </si>
  <si>
    <t>COMPRA PIZZETAS LABOYANA</t>
  </si>
  <si>
    <t>COMPRA DE CHICHARRONES</t>
  </si>
  <si>
    <t>COMPRA ALMUERZO LLANERO</t>
  </si>
  <si>
    <t>HAMBUERGUESAS</t>
  </si>
  <si>
    <t>YUYIS</t>
  </si>
  <si>
    <t>ASADOS CAQUETEÑOS</t>
  </si>
  <si>
    <t>ALMUERZO</t>
  </si>
  <si>
    <t>LA CIUDADELA</t>
  </si>
  <si>
    <t>TAMALES</t>
  </si>
  <si>
    <t xml:space="preserve">PAGO COMIDA </t>
  </si>
  <si>
    <t>JUNIO</t>
  </si>
  <si>
    <t>TOTALES</t>
  </si>
  <si>
    <t>COMPRA DE PIZZAS</t>
  </si>
  <si>
    <t>CASA</t>
  </si>
  <si>
    <t>09/-06/2025</t>
  </si>
  <si>
    <t>COMPRA DETERGENTE</t>
  </si>
  <si>
    <t>PAGO DESAYUNO</t>
  </si>
  <si>
    <t>CANELOS</t>
  </si>
  <si>
    <t>DESAYUNO</t>
  </si>
  <si>
    <t>COMPRA DE ALMUERZOS</t>
  </si>
  <si>
    <t>MORELIA</t>
  </si>
  <si>
    <t>NAYAWID</t>
  </si>
  <si>
    <t>COMPRA ARROZ CON LECHE</t>
  </si>
  <si>
    <t xml:space="preserve">MERIENDA </t>
  </si>
  <si>
    <t>COMPRA CARNES CARNIPOL</t>
  </si>
  <si>
    <t>25/26/2025</t>
  </si>
  <si>
    <t>COMPRA PAPELES</t>
  </si>
  <si>
    <t>(+)ALMUERZOS x APARTE</t>
  </si>
  <si>
    <t>JULIO</t>
  </si>
  <si>
    <t>LAS GARZAS</t>
  </si>
  <si>
    <t>COMPRA CHICHARRONES</t>
  </si>
  <si>
    <t>COMPRA DE POLLO</t>
  </si>
  <si>
    <t>HAMBURGUESA</t>
  </si>
  <si>
    <t>AGOSTO</t>
  </si>
  <si>
    <t>ALMNUERZO</t>
  </si>
  <si>
    <t>tres esquinas</t>
  </si>
  <si>
    <t>(+)ALMUERZOS x 10 dias</t>
  </si>
  <si>
    <t>(+)ALMUERZOS x 03 dias</t>
  </si>
  <si>
    <t>el porvenir</t>
  </si>
  <si>
    <t>COMPRA ELEMENTOS PARA AMELIA</t>
  </si>
  <si>
    <t>PARQUEADERO CARRO</t>
  </si>
  <si>
    <t>COMPRA HUEVOS</t>
  </si>
  <si>
    <t>POLLOS</t>
  </si>
  <si>
    <t>COMPRA CARNE Y PESCADO</t>
  </si>
  <si>
    <t>DESAYUNO DONDE PIPE PARRILLA</t>
  </si>
  <si>
    <t>ALMUERZO EN LAS GARZAS</t>
  </si>
  <si>
    <t>ARREGLOS CASA EN ARRIENDO</t>
  </si>
  <si>
    <t>ARREGLOS</t>
  </si>
  <si>
    <t>COMIDA EN CHORIZOS EN DONCELLO</t>
  </si>
  <si>
    <t>SEPTIEMBRE</t>
  </si>
  <si>
    <t>AUTENTICACION DE DOCUMENTOS</t>
  </si>
  <si>
    <t>(+)PAGO A YUNEIDIS</t>
  </si>
  <si>
    <t>HUEVOS CRIOLLOS</t>
  </si>
  <si>
    <t>PAGO CALIBRACION LLANTAS CARRO</t>
  </si>
  <si>
    <t>PAGO CANTANTE ALMUERZO</t>
  </si>
  <si>
    <t>PAGO PARQUEO ALMUERZO</t>
  </si>
  <si>
    <t>PAGO ALMUERZO</t>
  </si>
  <si>
    <t>compra de panes crosan</t>
  </si>
  <si>
    <t>COMPRA DE PICADAS</t>
  </si>
  <si>
    <t>COMPRA DE AREPA</t>
  </si>
  <si>
    <t xml:space="preserve">SEPTIEMBRE </t>
  </si>
  <si>
    <t>COMPRA DE PESCADO MOJARRA</t>
  </si>
  <si>
    <t>COMPRA DE HUEVOS CRIOLLOS</t>
  </si>
  <si>
    <t>alpinito y cola y pola</t>
  </si>
  <si>
    <t>FRUTAS Y VERDURAS CARNIPOL</t>
  </si>
  <si>
    <t>COMPRA AMBIENTADOR</t>
  </si>
  <si>
    <t>LAVADO DE CARRO</t>
  </si>
  <si>
    <t>COMPRA TANQUE AGUA</t>
  </si>
  <si>
    <t>COMPRA TANQUE RESIDUOS PELIGROSOS</t>
  </si>
  <si>
    <t>COMPRA CERAZETE + HIDROSIN</t>
  </si>
  <si>
    <t>COMPRA CHICHARRONES + FRITOS</t>
  </si>
  <si>
    <t>GASTOS EN EL HOSPITAL POR NACIMIENTO DE AMELIA</t>
  </si>
  <si>
    <t>GASTOS PARQUEO MOTO HDMI</t>
  </si>
  <si>
    <t>GASTOS POR SACAR A AMELIA DE UCIN HDMI</t>
  </si>
  <si>
    <t>HOSPITALIZACION</t>
  </si>
  <si>
    <t>COMPRA DE FORMULA NAN PARA AMELIA</t>
  </si>
  <si>
    <t>COMPRA MEDIAS PARA CINDY UCI</t>
  </si>
  <si>
    <t>COMPRAS</t>
  </si>
  <si>
    <t>OCTUBRE</t>
  </si>
  <si>
    <t>COMPRAS TOALLAS Y PANALES E 0|</t>
  </si>
  <si>
    <t xml:space="preserve">COMPRA BATERÍAS </t>
  </si>
  <si>
    <t>QUESO SALADO</t>
  </si>
  <si>
    <t>COMPRA PAPEL HIGIENICO</t>
  </si>
  <si>
    <t>COMPRA DE VERDURA</t>
  </si>
  <si>
    <t>COMPRA PLATANO GUINEO VERDE</t>
  </si>
  <si>
    <t>COMPRA LULOS</t>
  </si>
  <si>
    <t>COMPRA ABBAS</t>
  </si>
  <si>
    <t>COMPRA DE SEDA DENTAL</t>
  </si>
  <si>
    <t xml:space="preserve">GASTOS POR SALIDA DE CINDY </t>
  </si>
  <si>
    <t>COMPRA DE POLLO ASADO</t>
  </si>
  <si>
    <t>POTE DE LECHE NAN ETAPA 1</t>
  </si>
  <si>
    <t>COMPRA AGUACATE</t>
  </si>
  <si>
    <t>COMPRA DE ELEMENTOS DROGUERIA</t>
  </si>
  <si>
    <t>PAGO PARQUEO CENTRO MOTO</t>
  </si>
  <si>
    <t>HARINA PAN X2</t>
  </si>
  <si>
    <t>COMPRA DE DROGAS</t>
  </si>
  <si>
    <t>COMPRA PERCHERO</t>
  </si>
  <si>
    <t>VARIACIÓN PORCENTUAL</t>
  </si>
  <si>
    <t xml:space="preserve">ESTADO DE LA VARIACIÓN </t>
  </si>
  <si>
    <t>COMPRA DE BAYER DOMEBORO</t>
  </si>
  <si>
    <t>COMPRA CREMA ANTI SARPULLIDO AMELIA</t>
  </si>
  <si>
    <t>COMPRA AGUCATE</t>
  </si>
  <si>
    <t>COMPRA JABON AZUL</t>
  </si>
  <si>
    <t>ESTADO DE LA VARIACIÓN</t>
  </si>
  <si>
    <t>COMPRA MEDICINAS PARA AMELIA</t>
  </si>
  <si>
    <t>COMPRA DE PAPA+YUCA</t>
  </si>
  <si>
    <t>COMPRA DE AGUACATE</t>
  </si>
  <si>
    <t>COMPRA DE MANGOS</t>
  </si>
  <si>
    <t>COMPRA DE SALSA NEGRA</t>
  </si>
  <si>
    <t>COMPRA DE PIMENTON</t>
  </si>
  <si>
    <t>COMPRA DE AREPAS CON HUEVO + JUAN VALERIO</t>
  </si>
  <si>
    <t>COMPRA DE MEDICAMENTO BIOGAIA</t>
  </si>
  <si>
    <t>COMPRA DE PAÑALES PARA AMELIA</t>
  </si>
  <si>
    <t>COMPRA CHICHARRONES + AREPA E HUEVO</t>
  </si>
  <si>
    <t>COMPRA UTILES DE ASEO</t>
  </si>
  <si>
    <t>COMPRA DE QUESOS</t>
  </si>
  <si>
    <t>NOVIEMBRE</t>
  </si>
  <si>
    <t>PAGO LAVADA CARRO</t>
  </si>
  <si>
    <t>pollos</t>
  </si>
  <si>
    <t>LOMO DE CERDO</t>
  </si>
  <si>
    <t>COMPRA DE NARANJAS</t>
  </si>
  <si>
    <t>COMPRA DE TAMALES</t>
  </si>
  <si>
    <t>COMPRA DE MARISCOS</t>
  </si>
  <si>
    <t>COMPRA RECIPIENTE PA GUARDAR TETEROS</t>
  </si>
  <si>
    <t xml:space="preserve">COMPRA DE AGUACATE </t>
  </si>
  <si>
    <t>COMPRA MANGOS</t>
  </si>
  <si>
    <t>COMPRA UTILES DE ASEO D1</t>
  </si>
  <si>
    <t>COMPRA DE MERCADO SUPERMIO</t>
  </si>
  <si>
    <t>COMPRA DE LECHE AMELIA</t>
  </si>
  <si>
    <t>CANASTA DE HUEVOS</t>
  </si>
  <si>
    <t>COMPRA PIZZA + GASESOA</t>
  </si>
  <si>
    <t>PAGO MOTOTAXI</t>
  </si>
  <si>
    <t>RECARGA TANQUE AGUA</t>
  </si>
  <si>
    <t>AJO</t>
  </si>
  <si>
    <t>PLATANOS</t>
  </si>
  <si>
    <t>COMPRA DOKI PROTECTORES</t>
  </si>
  <si>
    <t xml:space="preserve">ALMUERZO </t>
  </si>
  <si>
    <t>COMPRA DE VERDURAS</t>
  </si>
  <si>
    <t>COMPRA DE COSTILLA</t>
  </si>
  <si>
    <t>COMPRA CLOROX</t>
  </si>
  <si>
    <t>QUESO CUAJADA</t>
  </si>
  <si>
    <t>COMPRA SALCHICHA RANCHERA</t>
  </si>
  <si>
    <t>COMPRA DE LEMENTOS PARA LA CASA</t>
  </si>
  <si>
    <t>COMPRA DE MEDICINAS</t>
  </si>
  <si>
    <t>PAGO TANQUEO CARRO KVQ993</t>
  </si>
  <si>
    <t>COMPRA DE AREPAS PA LA CENA DONDE DANILO</t>
  </si>
  <si>
    <t>CERVENO</t>
  </si>
  <si>
    <t>COMPRA DE VERDURAS Y FRUTAS</t>
  </si>
  <si>
    <t>COMPRA DE MERCADO ARA</t>
  </si>
  <si>
    <t>COMPRA VICKVAPORÚ</t>
  </si>
  <si>
    <t>EL DONCELLO</t>
  </si>
  <si>
    <t>PAAGO ALMUERZO CON EL PADRE JHON JAIRO</t>
  </si>
  <si>
    <t xml:space="preserve">PAGO MISA </t>
  </si>
  <si>
    <t>EL PAUJIL</t>
  </si>
  <si>
    <t>RURAL</t>
  </si>
  <si>
    <t>PAGO ARROOZ CON LECHE</t>
  </si>
  <si>
    <t>PAGO POLLO ASADO</t>
  </si>
  <si>
    <t>OFRENDA MISA</t>
  </si>
  <si>
    <t>MISA</t>
  </si>
  <si>
    <t>REFIGERIO</t>
  </si>
  <si>
    <t>DICIEMBRE</t>
  </si>
  <si>
    <t>COMPRA DE VERDURAS DONDE BARBAS</t>
  </si>
  <si>
    <t>COMPRA DE MERCADO EN EL ARA LA ESTRELLA</t>
  </si>
  <si>
    <t>COMPRA DE VERDURAS EN EL FRUVER CAMPESINO</t>
  </si>
  <si>
    <t>COMPRA DE CHORIZOS</t>
  </si>
  <si>
    <t>COMPRA DE PANES</t>
  </si>
  <si>
    <t>SAN JOSE DEL FRAGUA</t>
  </si>
  <si>
    <t>COMIDA</t>
  </si>
  <si>
    <t>URBANO</t>
  </si>
  <si>
    <t>PASEO</t>
  </si>
  <si>
    <t>CALIBRACION LLANRAS CARRO</t>
  </si>
  <si>
    <t>PAGO SERVICIO BAÑO</t>
  </si>
  <si>
    <t>(+) GASTOS POR  (OCIO)</t>
  </si>
  <si>
    <t>COMPRA PESCADO</t>
  </si>
  <si>
    <t>COMPRA DE ZIPLOC</t>
  </si>
  <si>
    <t>COMPRA SOPEROS</t>
  </si>
  <si>
    <t>COMPRA TANQUE BAÑO</t>
  </si>
  <si>
    <t>COMPRA YUCA</t>
  </si>
  <si>
    <t>COMPRA VERDRUAS</t>
  </si>
  <si>
    <t>COMPRA DE ASADOS DONDE FUENTE</t>
  </si>
  <si>
    <t>desayuno</t>
  </si>
  <si>
    <t>COMPRA DE MIXTURA DE MARISCOS</t>
  </si>
  <si>
    <t>COMPRA DE CAMARONES</t>
  </si>
  <si>
    <t>COPMPRA DE BOLSAS DE BASURA</t>
  </si>
  <si>
    <t>COMPRA DE ELEMENTOS PARA AMELIA</t>
  </si>
  <si>
    <t>COMPRA DE PAN EN PANADERIA LA SUPER</t>
  </si>
  <si>
    <t>FRIJLOADA EN LAS GARZAS</t>
  </si>
  <si>
    <t>COMPRA DE KAGURO PARA BEBE AMELIA</t>
  </si>
  <si>
    <t>COMPRA MIEL DE ABEJAS PARA DOÑA ANA</t>
  </si>
  <si>
    <t>COMPRA DE CERVEZA PETACO</t>
  </si>
  <si>
    <t>COMPRA COMIDA CERVENA</t>
  </si>
  <si>
    <t>COMPRA BOLSAS DE REGALO</t>
  </si>
  <si>
    <t>CERVENA</t>
  </si>
  <si>
    <t>COMPRA DE POLLO FRISBY</t>
  </si>
  <si>
    <t>PARQUEO CARRO</t>
  </si>
  <si>
    <t>TAXI COMANDO A PARQUEADERO</t>
  </si>
  <si>
    <t>COMPRA HIELO</t>
  </si>
  <si>
    <t>COMPRA DE PANES + GASEOSA PARA NOVENA</t>
  </si>
  <si>
    <t>COMPRA DE MERCADO EN ARA</t>
  </si>
  <si>
    <t>COMPRA DE RECETA COMIDA EL PRIMO</t>
  </si>
  <si>
    <t>COMPRA DE MERCADO D1</t>
  </si>
  <si>
    <t>COMPRA DE MEDICINAS AMELIA</t>
  </si>
  <si>
    <t>CENA FAMILIAR EN ALAMAR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</si>
</sst>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\ #,##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0" borderId="0" xfId="0" applyNumberFormat="1" applyAlignment="1">
      <alignment vertical="center"/>
    </xf>
    <xf numFmtId="0" fontId="0" fillId="3" borderId="1" xfId="0" applyFill="1" applyBorder="1"/>
    <xf numFmtId="3" fontId="0" fillId="3" borderId="1" xfId="0" applyNumberFormat="1" applyFill="1" applyBorder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/>
    <xf numFmtId="0" fontId="2" fillId="4" borderId="1" xfId="0" applyFon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4" fontId="0" fillId="0" borderId="0" xfId="0" applyNumberFormat="1"/>
    <xf numFmtId="165" fontId="4" fillId="0" borderId="0" xfId="0" applyNumberFormat="1" applyFont="1" applyAlignment="1">
      <alignment horizontal="center"/>
    </xf>
    <xf numFmtId="0" fontId="0" fillId="4" borderId="1" xfId="0" applyFill="1" applyBorder="1"/>
    <xf numFmtId="3" fontId="0" fillId="4" borderId="1" xfId="0" applyNumberFormat="1" applyFill="1" applyBorder="1"/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0" fontId="0" fillId="0" borderId="1" xfId="0" applyNumberFormat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5" borderId="1" xfId="0" applyFill="1" applyBorder="1"/>
    <xf numFmtId="9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3CC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COMPRAS</a:t>
            </a:r>
            <a:r>
              <a:rPr lang="en-US" baseline="0"/>
              <a:t> POR MERCADO AÑO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'1-GASTOS MERCADO 2025'!$I$2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'1-GASTOS MERCADO 2025'!$H$3:$H$14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'1-GASTOS MERCADO 2025'!$I$3:$I$14</c:f>
              <c:numCache>
                <c:formatCode>#,##0</c:formatCode>
                <c:ptCount val="12"/>
                <c:pt idx="0">
                  <c:v>1323709</c:v>
                </c:pt>
                <c:pt idx="1">
                  <c:v>1174701</c:v>
                </c:pt>
                <c:pt idx="2">
                  <c:v>1439280</c:v>
                </c:pt>
                <c:pt idx="3">
                  <c:v>1072159</c:v>
                </c:pt>
                <c:pt idx="4">
                  <c:v>1448121</c:v>
                </c:pt>
                <c:pt idx="5">
                  <c:v>1492803</c:v>
                </c:pt>
                <c:pt idx="6">
                  <c:v>1678099</c:v>
                </c:pt>
                <c:pt idx="7">
                  <c:v>2203667</c:v>
                </c:pt>
                <c:pt idx="8">
                  <c:v>1973222</c:v>
                </c:pt>
                <c:pt idx="9">
                  <c:v>3202187</c:v>
                </c:pt>
                <c:pt idx="10">
                  <c:v>2489416</c:v>
                </c:pt>
                <c:pt idx="11" formatCode="&quot;$&quot;#,##0">
                  <c:v>2271421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0-4A43-9713-813FA24DA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733560"/>
        <c:axId val="561731760"/>
      </c:barChart>
      <c:catAx>
        <c:axId val="561733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1731760"/>
        <c:crosses val="autoZero"/>
        <c:auto val="1"/>
        <c:lblAlgn val="ctr"/>
        <c:lblOffset val="100"/>
        <c:noMultiLvlLbl val="0"/>
      </c:catAx>
      <c:valAx>
        <c:axId val="56173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1733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</a:t>
            </a:r>
            <a:r>
              <a:rPr lang="es-CO" baseline="0"/>
              <a:t> POR OCIO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'2-GASTOS OCIO U OTROS'!$K$2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'2-GASTOS OCIO U OTROS'!$J$3:$J$14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'2-GASTOS OCIO U OTROS'!$K$3:$K$14</c:f>
              <c:numCache>
                <c:formatCode>#,##0</c:formatCode>
                <c:ptCount val="12"/>
                <c:pt idx="0">
                  <c:v>11000200</c:v>
                </c:pt>
                <c:pt idx="1">
                  <c:v>134000</c:v>
                </c:pt>
                <c:pt idx="2">
                  <c:v>220000</c:v>
                </c:pt>
                <c:pt idx="3" formatCode="&quot;$&quot;#,##0">
                  <c:v>957000</c:v>
                </c:pt>
                <c:pt idx="4">
                  <c:v>500500</c:v>
                </c:pt>
                <c:pt idx="5">
                  <c:v>204000</c:v>
                </c:pt>
                <c:pt idx="6" formatCode="&quot;$&quot;#,##0">
                  <c:v>147000</c:v>
                </c:pt>
                <c:pt idx="7" formatCode="&quot;$&quot;#,##0">
                  <c:v>565000</c:v>
                </c:pt>
                <c:pt idx="8" formatCode="&quot;$&quot;#,##0">
                  <c:v>348000</c:v>
                </c:pt>
                <c:pt idx="9" formatCode="&quot;$&quot;#,##0">
                  <c:v>172000</c:v>
                </c:pt>
                <c:pt idx="10" formatCode="&quot;$&quot;#,##0">
                  <c:v>322000</c:v>
                </c:pt>
                <c:pt idx="11" formatCode="&quot;$&quot;#,##0">
                  <c:v>838900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3-4B9F-9A76-69674F2D3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72223"/>
        <c:axId val="27568895"/>
      </c:barChart>
      <c:catAx>
        <c:axId val="2757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568895"/>
        <c:crosses val="autoZero"/>
        <c:auto val="1"/>
        <c:lblAlgn val="ctr"/>
        <c:lblOffset val="100"/>
        <c:noMultiLvlLbl val="0"/>
      </c:catAx>
      <c:valAx>
        <c:axId val="2756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57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PORCENTAJE GASTOS POR OCIO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'2-GASTOS OCIO U OTROS'!$K$2</c:f>
              <c:strCache>
                <c:ptCount val="1"/>
                <c:pt idx="0">
                  <c:v>MONTO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73-49E2-9128-DB6682B047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73-49E2-9128-DB6682B047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73-49E2-9128-DB6682B047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73-49E2-9128-DB6682B047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373-49E2-9128-DB6682B047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373-49E2-9128-DB6682B047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373-49E2-9128-DB6682B047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373-49E2-9128-DB6682B047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373-49E2-9128-DB6682B047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373-49E2-9128-DB6682B047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373-49E2-9128-DB6682B047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373-49E2-9128-DB6682B047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'2-GASTOS OCIO U OTROS'!$J$3:$J$14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'2-GASTOS OCIO U OTROS'!$K$3:$K$14</c:f>
              <c:numCache>
                <c:formatCode>#,##0</c:formatCode>
                <c:ptCount val="12"/>
                <c:pt idx="0">
                  <c:v>11000200</c:v>
                </c:pt>
                <c:pt idx="1">
                  <c:v>134000</c:v>
                </c:pt>
                <c:pt idx="2">
                  <c:v>220000</c:v>
                </c:pt>
                <c:pt idx="3" formatCode="&quot;$&quot;#,##0">
                  <c:v>957000</c:v>
                </c:pt>
                <c:pt idx="4">
                  <c:v>500500</c:v>
                </c:pt>
                <c:pt idx="5">
                  <c:v>204000</c:v>
                </c:pt>
                <c:pt idx="6" formatCode="&quot;$&quot;#,##0">
                  <c:v>147000</c:v>
                </c:pt>
                <c:pt idx="7" formatCode="&quot;$&quot;#,##0">
                  <c:v>565000</c:v>
                </c:pt>
                <c:pt idx="8" formatCode="&quot;$&quot;#,##0">
                  <c:v>348000</c:v>
                </c:pt>
                <c:pt idx="9" formatCode="&quot;$&quot;#,##0">
                  <c:v>172000</c:v>
                </c:pt>
                <c:pt idx="10" formatCode="&quot;$&quot;#,##0">
                  <c:v>322000</c:v>
                </c:pt>
                <c:pt idx="11" formatCode="&quot;$&quot;#,##0">
                  <c:v>838900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7-475B-9D2C-129DF2ABB0E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</a:t>
            </a:r>
            <a:r>
              <a:rPr lang="es-CO" baseline="0"/>
              <a:t> CASA 2025 (KAKEBO)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'3-TOTAL GASTOS Y SSPP'!$F$3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'3-TOTAL GASTOS Y SSPP'!$E$4:$E$15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'3-TOTAL GASTOS Y SSPP'!$F$4:$F$15</c:f>
              <c:numCache>
                <c:formatCode>#,##0</c:formatCode>
                <c:ptCount val="12"/>
                <c:pt idx="0">
                  <c:v>14057968</c:v>
                </c:pt>
                <c:pt idx="1">
                  <c:v>3310580</c:v>
                </c:pt>
                <c:pt idx="2">
                  <c:v>3072536</c:v>
                </c:pt>
                <c:pt idx="3">
                  <c:v>3455498</c:v>
                </c:pt>
                <c:pt idx="4">
                  <c:v>3385952</c:v>
                </c:pt>
                <c:pt idx="5">
                  <c:v>3167049</c:v>
                </c:pt>
                <c:pt idx="6">
                  <c:v>3337777</c:v>
                </c:pt>
                <c:pt idx="7">
                  <c:v>4465156</c:v>
                </c:pt>
                <c:pt idx="8">
                  <c:v>5206932</c:v>
                </c:pt>
                <c:pt idx="9">
                  <c:v>6291127</c:v>
                </c:pt>
                <c:pt idx="10">
                  <c:v>5725800</c:v>
                </c:pt>
                <c:pt idx="11">
                  <c:v>6068471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4-4C6B-8E26-33BC63414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911584"/>
        <c:axId val="504918656"/>
      </c:barChart>
      <c:catAx>
        <c:axId val="50491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4918656"/>
        <c:crosses val="autoZero"/>
        <c:auto val="1"/>
        <c:lblAlgn val="ctr"/>
        <c:lblOffset val="100"/>
        <c:noMultiLvlLbl val="0"/>
      </c:catAx>
      <c:valAx>
        <c:axId val="5049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491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 VS GASTOS AÑO 2025</a:t>
            </a:r>
          </a:p>
        </c:rich>
      </c:tx>
      <c:layout>
        <c:manualLayout>
          <c:xMode val="edge"/>
          <c:yMode val="edge"/>
          <c:x val="0.314715223097112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'4-RESULTADOS TOTALES'!$B$1</c:f>
              <c:strCache>
                <c:ptCount val="1"/>
                <c:pt idx="0">
                  <c:v>INGRESOS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'4-RESULTADOS TOTALES'!$A$2:$A$13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'4-RESULTADOS TOTALES'!$B$2:$B$13</c:f>
              <c:numCache>
                <c:formatCode>#,##0</c:formatCode>
                <c:ptCount val="12"/>
                <c:pt idx="0">
                  <c:v>14060000</c:v>
                </c:pt>
                <c:pt idx="1">
                  <c:v>3500000</c:v>
                </c:pt>
                <c:pt idx="2">
                  <c:v>3500000</c:v>
                </c:pt>
                <c:pt idx="3">
                  <c:v>3500000</c:v>
                </c:pt>
                <c:pt idx="4">
                  <c:v>3500000</c:v>
                </c:pt>
                <c:pt idx="5">
                  <c:v>3500000</c:v>
                </c:pt>
                <c:pt idx="6">
                  <c:v>3700000</c:v>
                </c:pt>
                <c:pt idx="7">
                  <c:v>4470000</c:v>
                </c:pt>
                <c:pt idx="8">
                  <c:v>5220000</c:v>
                </c:pt>
                <c:pt idx="9">
                  <c:v>6200000</c:v>
                </c:pt>
                <c:pt idx="10">
                  <c:v>5730000</c:v>
                </c:pt>
                <c:pt idx="11">
                  <c:v>6070000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5-4157-8E35-D79BB293C5EB}"/>
            </c:ext>
          </c:extLst>
        </c:ser>
        <c:ser>
          <c:idx val="1"/>
          <c:order val="1"/>
          <c:tx>
            <c:strRef>
              <c:f>'4-RESULTADOS TOTALES'!$C$1</c:f>
              <c:strCache>
                <c:ptCount val="1"/>
                <c:pt idx="0">
                  <c:v>EGRESOS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'4-RESULTADOS TOTALES'!$A$2:$A$13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'4-RESULTADOS TOTALES'!$C$2:$C$13</c:f>
              <c:numCache>
                <c:formatCode>#,##0</c:formatCode>
                <c:ptCount val="12"/>
                <c:pt idx="0">
                  <c:v>14057968</c:v>
                </c:pt>
                <c:pt idx="1">
                  <c:v>3310580</c:v>
                </c:pt>
                <c:pt idx="2">
                  <c:v>3072536</c:v>
                </c:pt>
                <c:pt idx="3">
                  <c:v>3455498</c:v>
                </c:pt>
                <c:pt idx="4">
                  <c:v>3385952</c:v>
                </c:pt>
                <c:pt idx="5">
                  <c:v>3167049</c:v>
                </c:pt>
                <c:pt idx="6">
                  <c:v>3337777</c:v>
                </c:pt>
                <c:pt idx="7">
                  <c:v>4465156</c:v>
                </c:pt>
                <c:pt idx="8">
                  <c:v>5206932</c:v>
                </c:pt>
                <c:pt idx="9">
                  <c:v>6291127</c:v>
                </c:pt>
                <c:pt idx="10">
                  <c:v>5725800</c:v>
                </c:pt>
                <c:pt idx="11">
                  <c:v>6068471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5-4157-8E35-D79BB293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0106911"/>
        <c:axId val="270107743"/>
      </c:barChart>
      <c:catAx>
        <c:axId val="27010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0107743"/>
        <c:crosses val="autoZero"/>
        <c:auto val="1"/>
        <c:lblAlgn val="ctr"/>
        <c:lblOffset val="100"/>
        <c:noMultiLvlLbl val="0"/>
      </c:catAx>
      <c:valAx>
        <c:axId val="27010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010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EGRESOS AÑO 2025 (PORCENTAJES)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'4-RESULTADOS TOTALES'!$C$1</c:f>
              <c:strCache>
                <c:ptCount val="1"/>
                <c:pt idx="0">
                  <c:v>EGRESOS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E3-47D2-96F3-DFD2B479B4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E3-47D2-96F3-DFD2B479B4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E3-47D2-96F3-DFD2B479B4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E3-47D2-96F3-DFD2B479B4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E3-47D2-96F3-DFD2B479B4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1E3-47D2-96F3-DFD2B479B4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1E3-47D2-96F3-DFD2B479B40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1E3-47D2-96F3-DFD2B479B40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1E3-47D2-96F3-DFD2B479B40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1E3-47D2-96F3-DFD2B479B40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1E3-47D2-96F3-DFD2B479B40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1E3-47D2-96F3-DFD2B479B40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1E3-47D2-96F3-DFD2B479B40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1E3-47D2-96F3-DFD2B479B40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1E3-47D2-96F3-DFD2B479B40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1E3-47D2-96F3-DFD2B479B40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1E3-47D2-96F3-DFD2B479B40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1E3-47D2-96F3-DFD2B479B40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31E3-47D2-96F3-DFD2B479B40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31E3-47D2-96F3-DFD2B479B40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31E3-47D2-96F3-DFD2B479B40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31E3-47D2-96F3-DFD2B479B40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31E3-47D2-96F3-DFD2B479B40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31E3-47D2-96F3-DFD2B479B40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'4-RESULTADOS TOTALES'!$A$2:$A$13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'4-RESULTADOS TOTALES'!$C$2:$C$13</c:f>
              <c:numCache>
                <c:formatCode>#,##0</c:formatCode>
                <c:ptCount val="12"/>
                <c:pt idx="0">
                  <c:v>14057968</c:v>
                </c:pt>
                <c:pt idx="1">
                  <c:v>3310580</c:v>
                </c:pt>
                <c:pt idx="2">
                  <c:v>3072536</c:v>
                </c:pt>
                <c:pt idx="3">
                  <c:v>3455498</c:v>
                </c:pt>
                <c:pt idx="4">
                  <c:v>3385952</c:v>
                </c:pt>
                <c:pt idx="5">
                  <c:v>3167049</c:v>
                </c:pt>
                <c:pt idx="6">
                  <c:v>3337777</c:v>
                </c:pt>
                <c:pt idx="7">
                  <c:v>4465156</c:v>
                </c:pt>
                <c:pt idx="8">
                  <c:v>5206932</c:v>
                </c:pt>
                <c:pt idx="9">
                  <c:v>6291127</c:v>
                </c:pt>
                <c:pt idx="10">
                  <c:v>5725800</c:v>
                </c:pt>
                <c:pt idx="11">
                  <c:v>6068471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0-485E-B152-59DF613D0EF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'4-RESULTADOS TOTALES'!$C$1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/>
            <a:sp3d/>
          </c:spPr>
          <c:cat>
            <c:strRef>
              <c:f>'4-RESULTADOS TOTALES'!$A$2:$A$13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'4-RESULTADOS TOTALES'!$C$2:$C$13</c:f>
              <c:numCache>
                <c:formatCode>#,##0</c:formatCode>
                <c:ptCount val="12"/>
                <c:pt idx="0">
                  <c:v>14057968</c:v>
                </c:pt>
                <c:pt idx="1">
                  <c:v>3310580</c:v>
                </c:pt>
                <c:pt idx="2">
                  <c:v>3072536</c:v>
                </c:pt>
                <c:pt idx="3">
                  <c:v>3455498</c:v>
                </c:pt>
                <c:pt idx="4">
                  <c:v>3385952</c:v>
                </c:pt>
                <c:pt idx="5">
                  <c:v>3167049</c:v>
                </c:pt>
                <c:pt idx="6">
                  <c:v>3337777</c:v>
                </c:pt>
                <c:pt idx="7">
                  <c:v>4465156</c:v>
                </c:pt>
                <c:pt idx="8">
                  <c:v>5206932</c:v>
                </c:pt>
                <c:pt idx="9">
                  <c:v>6291127</c:v>
                </c:pt>
                <c:pt idx="10">
                  <c:v>5725800</c:v>
                </c:pt>
                <c:pt idx="11">
                  <c:v>6068471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3-40A0-BEE8-B3EF994A5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526911"/>
        <c:axId val="1222518175"/>
        <c:axId val="1122395695"/>
      </c:area3DChart>
      <c:catAx>
        <c:axId val="1222526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518175"/>
        <c:crosses val="autoZero"/>
        <c:auto val="1"/>
        <c:lblAlgn val="ctr"/>
        <c:lblOffset val="100"/>
        <c:noMultiLvlLbl val="0"/>
      </c:catAx>
      <c:valAx>
        <c:axId val="122251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526911"/>
        <c:crosses val="autoZero"/>
        <c:crossBetween val="midCat"/>
      </c:valAx>
      <c:serAx>
        <c:axId val="11223956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518175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percentStacked"/>
        <c:varyColors val="0"/>
        <c:ser>
          <c:idx val="0"/>
          <c:order val="0"/>
          <c:tx>
            <c:strRef>
              <c:f>'4-RESULTADOS TOTALES'!$B$1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cat>
            <c:strRef>
              <c:f>'4-RESULTADOS TOTALES'!$A$2:$A$13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'4-RESULTADOS TOTALES'!$B$2:$B$13</c:f>
              <c:numCache>
                <c:formatCode>#,##0</c:formatCode>
                <c:ptCount val="12"/>
                <c:pt idx="0">
                  <c:v>14060000</c:v>
                </c:pt>
                <c:pt idx="1">
                  <c:v>3500000</c:v>
                </c:pt>
                <c:pt idx="2">
                  <c:v>3500000</c:v>
                </c:pt>
                <c:pt idx="3">
                  <c:v>3500000</c:v>
                </c:pt>
                <c:pt idx="4">
                  <c:v>3500000</c:v>
                </c:pt>
                <c:pt idx="5">
                  <c:v>3500000</c:v>
                </c:pt>
                <c:pt idx="6">
                  <c:v>3700000</c:v>
                </c:pt>
                <c:pt idx="7">
                  <c:v>4470000</c:v>
                </c:pt>
                <c:pt idx="8">
                  <c:v>5220000</c:v>
                </c:pt>
                <c:pt idx="9">
                  <c:v>6200000</c:v>
                </c:pt>
                <c:pt idx="10">
                  <c:v>5730000</c:v>
                </c:pt>
                <c:pt idx="11">
                  <c:v>6070000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E-4EED-A915-ECE13FB50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530655"/>
        <c:axId val="1222531071"/>
        <c:axId val="0"/>
      </c:area3DChart>
      <c:catAx>
        <c:axId val="1222530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531071"/>
        <c:crosses val="autoZero"/>
        <c:auto val="1"/>
        <c:lblAlgn val="ctr"/>
        <c:lblOffset val="100"/>
        <c:noMultiLvlLbl val="0"/>
      </c:catAx>
      <c:valAx>
        <c:axId val="122253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53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LINEA</a:t>
            </a:r>
            <a:r>
              <a:rPr lang="es-CO" b="1" baseline="0"/>
              <a:t> DE TIEMPO GENERAL (GASTOS AÑO 2025)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'4-RESULTADOS TOTALES'!$B$1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'4-RESULTADOS TOTALES'!$A$2:$A$13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'4-RESULTADOS TOTALES'!$B$2:$B$13</c:f>
              <c:numCache>
                <c:formatCode>#,##0</c:formatCode>
                <c:ptCount val="12"/>
                <c:pt idx="0">
                  <c:v>14060000</c:v>
                </c:pt>
                <c:pt idx="1">
                  <c:v>3500000</c:v>
                </c:pt>
                <c:pt idx="2">
                  <c:v>3500000</c:v>
                </c:pt>
                <c:pt idx="3">
                  <c:v>3500000</c:v>
                </c:pt>
                <c:pt idx="4">
                  <c:v>3500000</c:v>
                </c:pt>
                <c:pt idx="5">
                  <c:v>3500000</c:v>
                </c:pt>
                <c:pt idx="6">
                  <c:v>3700000</c:v>
                </c:pt>
                <c:pt idx="7">
                  <c:v>4470000</c:v>
                </c:pt>
                <c:pt idx="8">
                  <c:v>5220000</c:v>
                </c:pt>
                <c:pt idx="9">
                  <c:v>6200000</c:v>
                </c:pt>
                <c:pt idx="10">
                  <c:v>5730000</c:v>
                </c:pt>
                <c:pt idx="11">
                  <c:v>6070000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B-4B7B-AD1E-C3D5403E03D5}"/>
            </c:ext>
          </c:extLst>
        </c:ser>
        <c:ser>
          <c:idx val="1"/>
          <c:order val="1"/>
          <c:tx>
            <c:strRef>
              <c:f>'4-RESULTADOS TOTALES'!$C$1</c:f>
              <c:strCache>
                <c:ptCount val="1"/>
                <c:pt idx="0">
                  <c:v>EGRESOS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'4-RESULTADOS TOTALES'!$A$2:$A$13</c:f>
              <c:strCache>
                <c:ptCount val="12"/>
                <c:pt idx="0">
                  <c:v>MES ENERO</c:v>
                </c:pt>
                <c:pt idx="1">
                  <c:v>MES FEBRERO</c:v>
                </c:pt>
                <c:pt idx="2">
                  <c:v>MES MARZO</c:v>
                </c:pt>
                <c:pt idx="3">
                  <c:v>MES ABRIL</c:v>
                </c:pt>
                <c:pt idx="4">
                  <c:v>MES MAYO</c:v>
                </c:pt>
                <c:pt idx="5">
                  <c:v>MES JUNIO</c:v>
                </c:pt>
                <c:pt idx="6">
                  <c:v>MES JULIO</c:v>
                </c:pt>
                <c:pt idx="7">
                  <c:v>MES AGOSTO</c:v>
                </c:pt>
                <c:pt idx="8">
                  <c:v>MES SEPTIEMBRE</c:v>
                </c:pt>
                <c:pt idx="9">
                  <c:v>MES OCTUBRE</c:v>
                </c:pt>
                <c:pt idx="10">
                  <c:v>MES NOVIEMBRE</c:v>
                </c:pt>
                <c:pt idx="11">
                  <c:v>MES DICIEMBRE</c:v>
                </c:pt>
              </c:strCache>
            </c:strRef>
          </c:cat>
          <c:val>
            <c:numRef>
              <c:f>'4-RESULTADOS TOTALES'!$C$2:$C$13</c:f>
              <c:numCache>
                <c:formatCode>#,##0</c:formatCode>
                <c:ptCount val="12"/>
                <c:pt idx="0">
                  <c:v>14057968</c:v>
                </c:pt>
                <c:pt idx="1">
                  <c:v>3310580</c:v>
                </c:pt>
                <c:pt idx="2">
                  <c:v>3072536</c:v>
                </c:pt>
                <c:pt idx="3">
                  <c:v>3455498</c:v>
                </c:pt>
                <c:pt idx="4">
                  <c:v>3385952</c:v>
                </c:pt>
                <c:pt idx="5">
                  <c:v>3167049</c:v>
                </c:pt>
                <c:pt idx="6">
                  <c:v>3337777</c:v>
                </c:pt>
                <c:pt idx="7">
                  <c:v>4465156</c:v>
                </c:pt>
                <c:pt idx="8">
                  <c:v>5206932</c:v>
                </c:pt>
                <c:pt idx="9">
                  <c:v>6291127</c:v>
                </c:pt>
                <c:pt idx="10">
                  <c:v>5725800</c:v>
                </c:pt>
                <c:pt idx="11">
                  <c:v>6068471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B-4B7B-AD1E-C3D5403E0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022928"/>
        <c:axId val="2037012528"/>
      </c:lineChart>
      <c:catAx>
        <c:axId val="203702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7012528"/>
        <c:crosses val="autoZero"/>
        <c:auto val="1"/>
        <c:lblAlgn val="ctr"/>
        <c:lblOffset val="100"/>
        <c:noMultiLvlLbl val="0"/>
      </c:catAx>
      <c:valAx>
        <c:axId val="203701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702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15</xdr:row>
      <xdr:rowOff>47625</xdr:rowOff>
    </xdr:from>
    <xdr:to>
      <xdr:col>12</xdr:col>
      <xdr:colOff>561975</xdr:colOff>
      <xdr:row>30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1EE80B-4D28-5F7D-7C57-0A97F4C82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695325</xdr:colOff>
      <xdr:row>19</xdr:row>
      <xdr:rowOff>104775</xdr:rowOff>
    </xdr:from>
    <xdr:to>
      <xdr:col>13</xdr:col>
      <xdr:colOff>219075</xdr:colOff>
      <xdr:row>33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685800</xdr:colOff>
      <xdr:row>34</xdr:row>
      <xdr:rowOff>66675</xdr:rowOff>
    </xdr:from>
    <xdr:to>
      <xdr:col>13</xdr:col>
      <xdr:colOff>209550</xdr:colOff>
      <xdr:row>48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80961</xdr:colOff>
      <xdr:row>2</xdr:row>
      <xdr:rowOff>9525</xdr:rowOff>
    </xdr:from>
    <xdr:to>
      <xdr:col>12</xdr:col>
      <xdr:colOff>552450</xdr:colOff>
      <xdr:row>14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0</xdr:row>
      <xdr:rowOff>123825</xdr:rowOff>
    </xdr:from>
    <xdr:to>
      <xdr:col>11</xdr:col>
      <xdr:colOff>723900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723900</xdr:colOff>
      <xdr:row>15</xdr:row>
      <xdr:rowOff>38100</xdr:rowOff>
    </xdr:from>
    <xdr:to>
      <xdr:col>11</xdr:col>
      <xdr:colOff>723900</xdr:colOff>
      <xdr:row>29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15</xdr:row>
      <xdr:rowOff>47625</xdr:rowOff>
    </xdr:from>
    <xdr:to>
      <xdr:col>18</xdr:col>
      <xdr:colOff>9525</xdr:colOff>
      <xdr:row>29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9525</xdr:colOff>
      <xdr:row>0</xdr:row>
      <xdr:rowOff>123825</xdr:rowOff>
    </xdr:from>
    <xdr:to>
      <xdr:col>18</xdr:col>
      <xdr:colOff>9525</xdr:colOff>
      <xdr:row>15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723899</xdr:colOff>
      <xdr:row>30</xdr:row>
      <xdr:rowOff>0</xdr:rowOff>
    </xdr:from>
    <xdr:to>
      <xdr:col>18</xdr:col>
      <xdr:colOff>9524</xdr:colOff>
      <xdr:row>44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AGNER ALONSO FERNANDEZ VILLALOBOS" id="{4CB0EAFC-8B0B-4FFE-9FC4-FE382748AD8F}" userId="wagner.fernandez@correo.policia.gov.co" providerId="PeoplePicker"/>
  <person displayName="WAGNER ALONSO FERNANDEZ VILLALOBOS" id="{3E404C84-15DD-446D-B6DE-8F78EDD53DB1}" userId="S::wagner.fernandez@correo.policia.gov.co::3ca4185a-f71f-43c0-9891-f66b6cd5b8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4" dT="2025-04-13T02:00:17.46" personId="{3E404C84-15DD-446D-B6DE-8F78EDD53DB1}" id="{A9A40822-FDD5-40CD-8C56-3A742559F045}">
    <text>Compra de carnes</text>
  </threadedComment>
  <threadedComment ref="C59" dT="2025-04-20T12:45:13.28" personId="{3E404C84-15DD-446D-B6DE-8F78EDD53DB1}" id="{9E7450FA-1139-4F6C-9DC2-0A20A0897CFD}">
    <text>Compra comida semana santa</text>
  </threadedComment>
  <threadedComment ref="C60" dT="2025-04-20T12:45:23.59" personId="{3E404C84-15DD-446D-B6DE-8F78EDD53DB1}" id="{84A54F7C-D4F0-419B-BB7A-1E022685E7AA}">
    <text>Compra comida semana santa</text>
  </threadedComment>
  <threadedComment ref="C62" dT="2025-04-24T00:41:33.62" personId="{3E404C84-15DD-446D-B6DE-8F78EDD53DB1}" id="{04F2D514-3F9B-4FE6-9E0C-CC937143B927}">
    <text>Compra vinagre</text>
  </threadedComment>
  <threadedComment ref="C125" dT="2025-08-12T02:48:16.54" personId="{3E404C84-15DD-446D-B6DE-8F78EDD53DB1}" id="{0E514639-9EDC-48D7-AF75-C7A202FA566D}">
    <text>Huevos criollos</text>
  </threadedComment>
  <threadedComment ref="C131" dT="2025-08-19T03:00:41.62" personId="{3E404C84-15DD-446D-B6DE-8F78EDD53DB1}" id="{37A9D008-B19E-444C-AC52-3805C05CE5D3}">
    <text>Compra de carnes en carnipol</text>
  </threadedComment>
  <threadedComment ref="C161" dT="2025-09-21T20:48:18.24" personId="{3E404C84-15DD-446D-B6DE-8F78EDD53DB1}" id="{1CE1938C-1556-4990-B62D-2C8C00222A4C}">
    <text>COSITAS PA ALYS</text>
  </threadedComment>
  <threadedComment ref="C162" dT="2025-09-21T20:48:03.02" personId="{3E404C84-15DD-446D-B6DE-8F78EDD53DB1}" id="{38ECBD88-B0CE-47D8-8A6D-19548684FADB}">
    <text>AKMUERZO DOMINGUERO DE AMOR Y AMIOSTASD</text>
  </threadedComment>
  <threadedComment ref="C163" dT="2025-09-22T17:07:03.88" personId="{3E404C84-15DD-446D-B6DE-8F78EDD53DB1}" id="{F9E0B167-B0F9-40AC-9787-836C5E74496A}">
    <text>https://share.evernote.com/note/8ee05f71-76ae-f30e-96f0-e2c73b2789b9</text>
    <extLst>
      <x:ext xmlns:xltc2="http://schemas.microsoft.com/office/spreadsheetml/2020/threadedcomments2" uri="{F7C98A9C-CBB3-438F-8F68-D28B6AF4A901}">
        <xltc2:checksum>2680195239</xltc2:checksum>
        <xltc2:hyperlink startIndex="0" length="68" url="https://share.evernote.com/note/8ee05f71-76ae-f30e-96f0-e2c73b2789b9"/>
      </x:ext>
    </extLst>
  </threadedComment>
  <threadedComment ref="C164" dT="2025-09-22T17:07:09.02" personId="{3E404C84-15DD-446D-B6DE-8F78EDD53DB1}" id="{000BB67A-BA6E-4739-AF47-7048C8B5DF87}">
    <text>https://share.evernote.com/note/8ee05f71-76ae-f30e-96f0-e2c73b2789b9</text>
    <extLst>
      <x:ext xmlns:xltc2="http://schemas.microsoft.com/office/spreadsheetml/2020/threadedcomments2" uri="{F7C98A9C-CBB3-438F-8F68-D28B6AF4A901}">
        <xltc2:checksum>2680195239</xltc2:checksum>
        <xltc2:hyperlink startIndex="0" length="68" url="https://share.evernote.com/note/8ee05f71-76ae-f30e-96f0-e2c73b2789b9"/>
      </x:ext>
    </extLst>
  </threadedComment>
  <threadedComment ref="C177" dT="2025-10-07T00:24:27.87" personId="{3E404C84-15DD-446D-B6DE-8F78EDD53DB1}" id="{52D64D5D-8F36-4436-A071-A1CAA7E720CB}">
    <text xml:space="preserve">PASTILLAS CINDY
ROSAS PA CINDY
FLORES DE DAVID PA LA CASA
COMPRA IGRDIENTE ALMUERZOS
VERDURAS
PILAS AA
</text>
  </threadedComment>
  <threadedComment ref="C177" dT="2025-10-07T15:33:19.70" personId="{3E404C84-15DD-446D-B6DE-8F78EDD53DB1}" id="{74E77553-329A-42E8-8D94-312400433E43}" parentId="{52D64D5D-8F36-4436-A071-A1CAA7E720CB}">
    <text xml:space="preserve">YA todo fue anotado @WAGNER ALONSO FERNANDEZ VILLALOBOS </text>
    <mentions>
      <mention mentionpersonId="{4CB0EAFC-8B0B-4FFE-9FC4-FE382748AD8F}" mentionId="{F141E39E-29BD-42D2-93D9-7EDE7C5CDCD6}" startIndex="20" length="35"/>
    </mentions>
  </threadedComment>
  <threadedComment ref="C186" dT="2025-10-11T00:56:28.85" personId="{3E404C84-15DD-446D-B6DE-8F78EDD53DB1}" id="{5242F64F-01E0-4E50-BF8F-388705C06F69}">
    <text>PA QUITARLE LOS PUNTOS A CINDY CESAREA</text>
  </threadedComment>
  <threadedComment ref="C190" dT="2025-10-11T00:54:07.60" personId="{3E404C84-15DD-446D-B6DE-8F78EDD53DB1}" id="{96E75C04-B034-4723-B2C5-A5B46499EFB0}">
    <text>02 pimentones
06 cebollas cabezonas
04 tomates
01 paquete de buenas noches
06 naranjas tangelo</text>
  </threadedComment>
  <threadedComment ref="C194" dT="2025-10-11T00:55:14.25" personId="{3E404C84-15DD-446D-B6DE-8F78EDD53DB1}" id="{E7F2272C-0B95-4320-AA9A-601B7087C653}">
    <text>02 GUANTES
04 GASAS COMPRESORAS</text>
  </threadedComment>
  <threadedComment ref="C195" dT="2025-10-11T17:14:39.75" personId="{3E404C84-15DD-446D-B6DE-8F78EDD53DB1}" id="{D02AA7A7-F140-42D2-B156-AE3D6FA0F54D}">
    <text>COMPRA DE SUSTITUTO DE SULFATO FERROSO (AMENIDOX)
COMPRA DE LECHE MAGNESIA PHILLIPS</text>
  </threadedComment>
  <threadedComment ref="C215" dT="2025-10-28T13:53:17.29" personId="{3E404C84-15DD-446D-B6DE-8F78EDD53DB1}" id="{E129035B-73A9-4316-9E33-FF9D077920FF}">
    <text>CILANTRO
TOMATE CHONTO
PASTA LA MUÑECA
PIMENTON
CEBOLLA
BOLSA EMPAQUE</text>
  </threadedComment>
  <threadedComment ref="C218" dT="2025-11-01T14:01:10.57" personId="{3E404C84-15DD-446D-B6DE-8F78EDD53DB1}" id="{56379802-C4EC-427E-8B07-50B83D387BCE}">
    <text>QUESO SALADO
QUESO CUAJADA</text>
  </threadedComment>
  <threadedComment ref="C219" dT="2025-11-01T14:00:56.71" personId="{3E404C84-15DD-446D-B6DE-8F78EDD53DB1}" id="{D0FA23C5-3C45-4F5A-B486-0D115FA5C3E6}">
    <text>HIGADO
CARNE DE CADERA
CARNE LOMO ANCHO
COSTILLA</text>
  </threadedComment>
  <threadedComment ref="C226" dT="2025-11-03T14:13:22.27" personId="{3E404C84-15DD-446D-B6DE-8F78EDD53DB1}" id="{71161D3F-101F-4371-934C-CC98AAFF8A44}">
    <text>ACEITE
PASTAS ESPAGUETE
AVENA OJUELAS
ATUN
SALSA NEGRA
LIMON
COLOFLOR
SALCHICHA RANCHERA
ARVEJA VERDE
CHORIZO TERNERA
LECHE
ESPONJAS
BOLSAS PLASTICAS</text>
  </threadedComment>
  <threadedComment ref="C245" dT="2025-11-15T20:03:20.39" personId="{3E404C84-15DD-446D-B6DE-8F78EDD53DB1}" id="{5AB5CE07-08B9-4CBB-A407-C89659EA9A68}">
    <text>Crema de leche
Miga de pan
Arveja
Manzana verde
Cebolla larga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3525C1-5A87-4EF5-844C-3F32B8D12D54}">
  <we:reference id="WA200005502" version="1.0.0.6" store="en-US" storeType="omex"/>
  <we:alternateReferences>
    <we:reference id="WA200005502" version="1.0.0.6" store="omex" storeType="omex"/>
  </we:alternateReferences>
  <we:properties>
    <we:property name="docId" value="&quot;049a9950-20bc-4e45-bc7b-1b0c64afca6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6204AB8-7817-4E8F-938C-15ADD7817E10}">
  <we:reference id="wa200007447" version="1.0.0.0" store="es-E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</sheetPr>
  <dimension ref="A1:K318"/>
  <sheetViews>
    <sheetView topLeftCell="A295" zoomScaleNormal="100" zoomScaleSheetLayoutView="106" workbookViewId="0">
      <selection activeCell="C321" sqref="C321"/>
    </sheetView>
  </sheetViews>
  <sheetFormatPr baseColWidth="10" defaultColWidth="9.109375" defaultRowHeight="14.4" x14ac:dyDescent="0.3"/>
  <cols>
    <col min="1" max="1" width="13" style="1" customWidth="1"/>
    <col min="2" max="2" width="14.33203125" style="18" customWidth="1"/>
    <col min="3" max="3" width="51.88671875" style="1" customWidth="1"/>
    <col min="4" max="4" width="13.6640625" style="31" customWidth="1"/>
    <col min="5" max="5" width="12.33203125" style="1" customWidth="1"/>
    <col min="8" max="8" width="22.5546875" customWidth="1"/>
    <col min="9" max="9" width="12.5546875" customWidth="1"/>
    <col min="10" max="10" width="24.109375" customWidth="1"/>
    <col min="11" max="11" width="24.5546875" customWidth="1"/>
  </cols>
  <sheetData>
    <row r="1" spans="1:11" x14ac:dyDescent="0.3">
      <c r="A1" s="7" t="s">
        <v>0</v>
      </c>
      <c r="B1" s="17" t="s">
        <v>1</v>
      </c>
      <c r="C1" s="7" t="s">
        <v>2</v>
      </c>
      <c r="D1" s="30" t="s">
        <v>3</v>
      </c>
      <c r="E1" s="7" t="s">
        <v>4</v>
      </c>
    </row>
    <row r="2" spans="1:11" x14ac:dyDescent="0.3">
      <c r="A2" s="2">
        <v>45659</v>
      </c>
      <c r="B2" s="18">
        <v>49940</v>
      </c>
      <c r="C2" s="1" t="s">
        <v>48</v>
      </c>
      <c r="D2" s="1" t="s">
        <v>49</v>
      </c>
      <c r="E2" s="1" t="s">
        <v>50</v>
      </c>
      <c r="H2" s="38" t="s">
        <v>3</v>
      </c>
      <c r="I2" s="38" t="s">
        <v>1</v>
      </c>
      <c r="J2" s="38" t="s">
        <v>183</v>
      </c>
      <c r="K2" s="38" t="s">
        <v>184</v>
      </c>
    </row>
    <row r="3" spans="1:11" x14ac:dyDescent="0.3">
      <c r="A3" s="2">
        <v>45661</v>
      </c>
      <c r="B3" s="18">
        <v>206950</v>
      </c>
      <c r="C3" s="1" t="s">
        <v>51</v>
      </c>
      <c r="D3" s="1" t="s">
        <v>49</v>
      </c>
      <c r="E3" s="1" t="s">
        <v>50</v>
      </c>
      <c r="H3" s="33" t="s">
        <v>6</v>
      </c>
      <c r="I3" s="8">
        <f>SUM(B2:B10)</f>
        <v>1323709</v>
      </c>
      <c r="J3" s="36"/>
      <c r="K3" s="37"/>
    </row>
    <row r="4" spans="1:11" x14ac:dyDescent="0.3">
      <c r="A4" s="2">
        <v>45661</v>
      </c>
      <c r="B4" s="18">
        <v>34631</v>
      </c>
      <c r="C4" s="1" t="s">
        <v>52</v>
      </c>
      <c r="D4" s="1" t="s">
        <v>49</v>
      </c>
      <c r="E4" s="1" t="s">
        <v>50</v>
      </c>
      <c r="H4" s="34" t="s">
        <v>7</v>
      </c>
      <c r="I4" s="8">
        <f>SUM(B11:B23)</f>
        <v>1174701</v>
      </c>
      <c r="J4" s="35">
        <f>(I4-I3)/I3</f>
        <v>-0.11256854792103098</v>
      </c>
      <c r="K4" s="32" t="str">
        <f>IF(J4&lt;0,"BAJÓ EL GASTO",IF(J4=0,"GASTO ESTABLE","SUBIÓ EL GASTO"))</f>
        <v>BAJÓ EL GASTO</v>
      </c>
    </row>
    <row r="5" spans="1:11" x14ac:dyDescent="0.3">
      <c r="A5" s="2">
        <v>45661</v>
      </c>
      <c r="B5" s="18">
        <v>81883</v>
      </c>
      <c r="C5" s="1" t="s">
        <v>51</v>
      </c>
      <c r="D5" s="1" t="s">
        <v>49</v>
      </c>
      <c r="E5" s="1" t="s">
        <v>50</v>
      </c>
      <c r="H5" s="34" t="s">
        <v>8</v>
      </c>
      <c r="I5" s="8">
        <f>SUM(B28:B46)</f>
        <v>1439280</v>
      </c>
      <c r="J5" s="35">
        <f t="shared" ref="J5:J12" si="0">(I5-I4)/I4</f>
        <v>0.22523093110502163</v>
      </c>
      <c r="K5" s="32" t="str">
        <f t="shared" ref="K5:K12" si="1">IF(J5&lt;0,"BAJÓ EL GASTO",IF(J5=0,"GASTO ESTABLE","SUBIÓ EL GASTO"))</f>
        <v>SUBIÓ EL GASTO</v>
      </c>
    </row>
    <row r="6" spans="1:11" x14ac:dyDescent="0.3">
      <c r="A6" s="2">
        <v>45661</v>
      </c>
      <c r="B6" s="18">
        <v>56000</v>
      </c>
      <c r="C6" s="1" t="s">
        <v>53</v>
      </c>
      <c r="D6" s="1" t="s">
        <v>49</v>
      </c>
      <c r="E6" s="1" t="s">
        <v>54</v>
      </c>
      <c r="H6" s="34" t="s">
        <v>9</v>
      </c>
      <c r="I6" s="8">
        <f>SUM(B47:B66)</f>
        <v>1072159</v>
      </c>
      <c r="J6" s="35">
        <f t="shared" si="0"/>
        <v>-0.25507267522650212</v>
      </c>
      <c r="K6" s="32" t="str">
        <f t="shared" si="1"/>
        <v>BAJÓ EL GASTO</v>
      </c>
    </row>
    <row r="7" spans="1:11" x14ac:dyDescent="0.3">
      <c r="A7" s="2">
        <v>45683</v>
      </c>
      <c r="B7" s="18">
        <v>12323</v>
      </c>
      <c r="C7" s="1" t="s">
        <v>52</v>
      </c>
      <c r="D7" s="1" t="s">
        <v>49</v>
      </c>
      <c r="E7" s="1" t="s">
        <v>54</v>
      </c>
      <c r="H7" s="34" t="s">
        <v>10</v>
      </c>
      <c r="I7" s="8">
        <f>SUM(B67:B86)</f>
        <v>1448121</v>
      </c>
      <c r="J7" s="35">
        <f t="shared" si="0"/>
        <v>0.35065881086667183</v>
      </c>
      <c r="K7" s="32" t="str">
        <f t="shared" si="1"/>
        <v>SUBIÓ EL GASTO</v>
      </c>
    </row>
    <row r="8" spans="1:11" x14ac:dyDescent="0.3">
      <c r="A8" s="2">
        <v>45683</v>
      </c>
      <c r="B8" s="18">
        <v>19700</v>
      </c>
      <c r="C8" s="1" t="s">
        <v>52</v>
      </c>
      <c r="D8" s="1" t="s">
        <v>49</v>
      </c>
      <c r="E8" s="1" t="s">
        <v>54</v>
      </c>
      <c r="H8" s="34" t="s">
        <v>11</v>
      </c>
      <c r="I8" s="8">
        <f>SUM(B87:B105)</f>
        <v>1492803</v>
      </c>
      <c r="J8" s="35">
        <f t="shared" si="0"/>
        <v>3.0855156440656548E-2</v>
      </c>
      <c r="K8" s="32" t="str">
        <f t="shared" si="1"/>
        <v>SUBIÓ EL GASTO</v>
      </c>
    </row>
    <row r="9" spans="1:11" x14ac:dyDescent="0.3">
      <c r="A9" s="2">
        <v>45684</v>
      </c>
      <c r="B9" s="18">
        <v>169630</v>
      </c>
      <c r="C9" s="1" t="s">
        <v>52</v>
      </c>
      <c r="D9" s="1" t="s">
        <v>49</v>
      </c>
      <c r="E9" s="1" t="s">
        <v>54</v>
      </c>
      <c r="H9" s="34" t="s">
        <v>12</v>
      </c>
      <c r="I9" s="8">
        <f>SUM(B106:B120)</f>
        <v>1678099</v>
      </c>
      <c r="J9" s="35">
        <f t="shared" si="0"/>
        <v>0.12412622429081399</v>
      </c>
      <c r="K9" s="32" t="str">
        <f t="shared" si="1"/>
        <v>SUBIÓ EL GASTO</v>
      </c>
    </row>
    <row r="10" spans="1:11" x14ac:dyDescent="0.3">
      <c r="A10" s="2">
        <v>45685</v>
      </c>
      <c r="B10" s="18">
        <v>692652</v>
      </c>
      <c r="C10" s="1" t="s">
        <v>52</v>
      </c>
      <c r="D10" s="1" t="s">
        <v>49</v>
      </c>
      <c r="E10" s="1" t="s">
        <v>54</v>
      </c>
      <c r="H10" s="34" t="s">
        <v>13</v>
      </c>
      <c r="I10" s="8">
        <f>SUM(B121:B144)</f>
        <v>2203667</v>
      </c>
      <c r="J10" s="35">
        <f t="shared" si="0"/>
        <v>0.31319248745157469</v>
      </c>
      <c r="K10" s="32" t="str">
        <f t="shared" si="1"/>
        <v>SUBIÓ EL GASTO</v>
      </c>
    </row>
    <row r="11" spans="1:11" x14ac:dyDescent="0.3">
      <c r="A11" s="2">
        <v>45689</v>
      </c>
      <c r="B11" s="18">
        <v>72400</v>
      </c>
      <c r="C11" s="1" t="s">
        <v>58</v>
      </c>
      <c r="D11" s="1" t="s">
        <v>59</v>
      </c>
      <c r="E11" s="1" t="s">
        <v>50</v>
      </c>
      <c r="H11" s="34" t="s">
        <v>14</v>
      </c>
      <c r="I11" s="8">
        <f>SUM(B145:B172)</f>
        <v>1973222</v>
      </c>
      <c r="J11" s="35">
        <f t="shared" si="0"/>
        <v>-0.10457342239095108</v>
      </c>
      <c r="K11" s="32" t="str">
        <f t="shared" si="1"/>
        <v>BAJÓ EL GASTO</v>
      </c>
    </row>
    <row r="12" spans="1:11" x14ac:dyDescent="0.3">
      <c r="A12" s="2">
        <v>45693</v>
      </c>
      <c r="B12" s="18">
        <v>23800</v>
      </c>
      <c r="C12" s="1" t="s">
        <v>60</v>
      </c>
      <c r="D12" s="1" t="s">
        <v>59</v>
      </c>
      <c r="E12" s="1" t="s">
        <v>50</v>
      </c>
      <c r="H12" s="34" t="s">
        <v>15</v>
      </c>
      <c r="I12" s="8">
        <f>SUM(B173:B219)</f>
        <v>3202187</v>
      </c>
      <c r="J12" s="35">
        <f t="shared" si="0"/>
        <v>0.62282145648082177</v>
      </c>
      <c r="K12" s="32" t="str">
        <f t="shared" si="1"/>
        <v>SUBIÓ EL GASTO</v>
      </c>
    </row>
    <row r="13" spans="1:11" x14ac:dyDescent="0.3">
      <c r="A13" s="2">
        <v>45697</v>
      </c>
      <c r="B13" s="18">
        <v>50000</v>
      </c>
      <c r="C13" s="1" t="s">
        <v>65</v>
      </c>
      <c r="D13" s="1" t="s">
        <v>59</v>
      </c>
      <c r="E13" s="1" t="s">
        <v>50</v>
      </c>
      <c r="H13" s="34" t="s">
        <v>16</v>
      </c>
      <c r="I13" s="8">
        <f>SUM(B220:B267)</f>
        <v>2489416</v>
      </c>
      <c r="J13" s="35">
        <f>(I13-I12)/I12</f>
        <v>-0.22258881195882688</v>
      </c>
      <c r="K13" s="32" t="str">
        <f>IF(J13&lt;0,"BAJÓ EL GASTO",IF(J13=0,"GASTO ESTABLE","SUBIÓ EL GASTO"))</f>
        <v>BAJÓ EL GASTO</v>
      </c>
    </row>
    <row r="14" spans="1:11" x14ac:dyDescent="0.3">
      <c r="A14" s="2">
        <v>45698</v>
      </c>
      <c r="B14" s="18">
        <v>282500</v>
      </c>
      <c r="C14" s="1" t="s">
        <v>66</v>
      </c>
      <c r="D14" s="1" t="s">
        <v>59</v>
      </c>
      <c r="E14" s="1" t="s">
        <v>50</v>
      </c>
      <c r="H14" s="34" t="s">
        <v>17</v>
      </c>
      <c r="I14" s="14">
        <f>SUM(B268:B332)</f>
        <v>2271421</v>
      </c>
      <c r="J14" s="35">
        <f>(I14-I13)/I13</f>
        <v>-8.7568730979474707E-2</v>
      </c>
      <c r="K14" s="32" t="str">
        <f>IF(J14&lt;0,"BAJÓ EL GASTO",IF(J14=0,"GASTO ESTABLE","SUBIÓ EL GASTO"))</f>
        <v>BAJÓ EL GASTO</v>
      </c>
    </row>
    <row r="15" spans="1:11" x14ac:dyDescent="0.3">
      <c r="A15" s="2">
        <v>45699</v>
      </c>
      <c r="B15" s="18">
        <v>17829</v>
      </c>
      <c r="C15" s="1" t="s">
        <v>66</v>
      </c>
      <c r="D15" s="1" t="s">
        <v>59</v>
      </c>
      <c r="E15" s="1" t="s">
        <v>50</v>
      </c>
    </row>
    <row r="16" spans="1:11" x14ac:dyDescent="0.3">
      <c r="A16" s="2">
        <v>45699</v>
      </c>
      <c r="B16" s="18">
        <v>8000</v>
      </c>
      <c r="C16" s="1" t="s">
        <v>67</v>
      </c>
      <c r="D16" s="1" t="s">
        <v>59</v>
      </c>
      <c r="E16" s="1" t="s">
        <v>50</v>
      </c>
    </row>
    <row r="17" spans="1:5" x14ac:dyDescent="0.3">
      <c r="A17" s="2">
        <v>45705</v>
      </c>
      <c r="B17" s="18">
        <v>65555</v>
      </c>
      <c r="C17" s="1" t="s">
        <v>52</v>
      </c>
      <c r="D17" s="1" t="s">
        <v>59</v>
      </c>
      <c r="E17" s="1" t="s">
        <v>50</v>
      </c>
    </row>
    <row r="18" spans="1:5" x14ac:dyDescent="0.3">
      <c r="A18" s="2">
        <v>45707</v>
      </c>
      <c r="B18" s="18">
        <v>171400</v>
      </c>
      <c r="C18" s="1" t="s">
        <v>68</v>
      </c>
      <c r="D18" s="1" t="s">
        <v>59</v>
      </c>
      <c r="E18" s="1" t="s">
        <v>50</v>
      </c>
    </row>
    <row r="19" spans="1:5" x14ac:dyDescent="0.3">
      <c r="A19" s="2">
        <v>45707</v>
      </c>
      <c r="B19" s="18">
        <v>11555</v>
      </c>
      <c r="C19" s="1" t="s">
        <v>52</v>
      </c>
      <c r="D19" s="1" t="s">
        <v>59</v>
      </c>
      <c r="E19" s="1" t="s">
        <v>50</v>
      </c>
    </row>
    <row r="20" spans="1:5" x14ac:dyDescent="0.3">
      <c r="A20" s="2">
        <v>45710</v>
      </c>
      <c r="B20" s="18">
        <v>69963</v>
      </c>
      <c r="C20" s="1" t="s">
        <v>52</v>
      </c>
      <c r="D20" s="1" t="s">
        <v>59</v>
      </c>
      <c r="E20" s="1" t="s">
        <v>50</v>
      </c>
    </row>
    <row r="21" spans="1:5" x14ac:dyDescent="0.3">
      <c r="A21" s="2">
        <v>45344</v>
      </c>
      <c r="B21" s="18">
        <v>91303</v>
      </c>
      <c r="C21" s="1" t="s">
        <v>52</v>
      </c>
      <c r="D21" s="1" t="s">
        <v>59</v>
      </c>
      <c r="E21" s="1" t="s">
        <v>50</v>
      </c>
    </row>
    <row r="22" spans="1:5" x14ac:dyDescent="0.3">
      <c r="A22" s="2">
        <v>45346</v>
      </c>
      <c r="B22" s="18">
        <v>29596</v>
      </c>
      <c r="C22" s="1" t="s">
        <v>65</v>
      </c>
      <c r="D22" s="1" t="s">
        <v>59</v>
      </c>
      <c r="E22" s="1" t="s">
        <v>50</v>
      </c>
    </row>
    <row r="23" spans="1:5" x14ac:dyDescent="0.3">
      <c r="A23" s="2">
        <v>45713</v>
      </c>
      <c r="B23" s="18">
        <v>280800</v>
      </c>
      <c r="C23" s="1" t="s">
        <v>52</v>
      </c>
      <c r="D23" s="1" t="s">
        <v>59</v>
      </c>
      <c r="E23" s="1" t="s">
        <v>50</v>
      </c>
    </row>
    <row r="24" spans="1:5" x14ac:dyDescent="0.3">
      <c r="A24" s="2">
        <v>45349</v>
      </c>
      <c r="B24" s="18">
        <v>113650</v>
      </c>
      <c r="C24" s="1" t="s">
        <v>52</v>
      </c>
      <c r="D24" s="1" t="s">
        <v>59</v>
      </c>
      <c r="E24" s="1" t="s">
        <v>50</v>
      </c>
    </row>
    <row r="25" spans="1:5" x14ac:dyDescent="0.3">
      <c r="A25" s="2">
        <v>45349</v>
      </c>
      <c r="B25" s="18">
        <v>62040</v>
      </c>
      <c r="C25" s="1" t="s">
        <v>52</v>
      </c>
      <c r="D25" s="1" t="s">
        <v>59</v>
      </c>
      <c r="E25" s="1" t="s">
        <v>50</v>
      </c>
    </row>
    <row r="26" spans="1:5" x14ac:dyDescent="0.3">
      <c r="A26" s="2">
        <v>45349</v>
      </c>
      <c r="B26" s="18">
        <v>35000</v>
      </c>
      <c r="C26" s="1" t="s">
        <v>52</v>
      </c>
      <c r="D26" s="1" t="s">
        <v>59</v>
      </c>
      <c r="E26" s="1" t="s">
        <v>50</v>
      </c>
    </row>
    <row r="27" spans="1:5" x14ac:dyDescent="0.3">
      <c r="A27" s="2">
        <v>45349</v>
      </c>
      <c r="B27" s="18">
        <v>21000</v>
      </c>
      <c r="C27" s="1" t="s">
        <v>52</v>
      </c>
      <c r="D27" s="1" t="s">
        <v>59</v>
      </c>
      <c r="E27" s="1" t="s">
        <v>50</v>
      </c>
    </row>
    <row r="28" spans="1:5" x14ac:dyDescent="0.3">
      <c r="A28" s="2">
        <v>45720</v>
      </c>
      <c r="B28" s="18">
        <v>113680</v>
      </c>
      <c r="C28" s="1" t="s">
        <v>52</v>
      </c>
      <c r="D28" s="1" t="s">
        <v>69</v>
      </c>
      <c r="E28" s="1" t="s">
        <v>50</v>
      </c>
    </row>
    <row r="29" spans="1:5" x14ac:dyDescent="0.3">
      <c r="A29" s="2">
        <v>45720</v>
      </c>
      <c r="B29" s="18">
        <v>231364</v>
      </c>
      <c r="C29" s="1" t="s">
        <v>52</v>
      </c>
      <c r="D29" s="1" t="s">
        <v>69</v>
      </c>
      <c r="E29" s="1" t="s">
        <v>50</v>
      </c>
    </row>
    <row r="30" spans="1:5" x14ac:dyDescent="0.3">
      <c r="A30" s="2">
        <v>45721</v>
      </c>
      <c r="B30" s="18">
        <v>6000</v>
      </c>
      <c r="C30" s="1" t="s">
        <v>52</v>
      </c>
      <c r="D30" s="1" t="s">
        <v>69</v>
      </c>
      <c r="E30" s="1" t="s">
        <v>50</v>
      </c>
    </row>
    <row r="31" spans="1:5" x14ac:dyDescent="0.3">
      <c r="A31" s="2">
        <v>45721</v>
      </c>
      <c r="B31" s="18">
        <v>5000</v>
      </c>
      <c r="C31" s="1" t="s">
        <v>52</v>
      </c>
      <c r="D31" s="1" t="s">
        <v>69</v>
      </c>
      <c r="E31" s="1" t="s">
        <v>50</v>
      </c>
    </row>
    <row r="32" spans="1:5" x14ac:dyDescent="0.3">
      <c r="A32" s="2">
        <v>45724</v>
      </c>
      <c r="B32" s="18">
        <v>90000</v>
      </c>
      <c r="C32" s="1" t="s">
        <v>52</v>
      </c>
      <c r="D32" s="1" t="s">
        <v>69</v>
      </c>
      <c r="E32" s="1" t="s">
        <v>50</v>
      </c>
    </row>
    <row r="33" spans="1:5" x14ac:dyDescent="0.3">
      <c r="A33" s="2">
        <v>45725</v>
      </c>
      <c r="B33" s="18">
        <v>38365</v>
      </c>
      <c r="C33" s="1" t="s">
        <v>52</v>
      </c>
      <c r="D33" s="1" t="s">
        <v>69</v>
      </c>
      <c r="E33" s="1" t="s">
        <v>50</v>
      </c>
    </row>
    <row r="34" spans="1:5" x14ac:dyDescent="0.3">
      <c r="A34" s="2">
        <v>45729</v>
      </c>
      <c r="B34" s="18">
        <v>12000</v>
      </c>
      <c r="C34" s="1" t="s">
        <v>52</v>
      </c>
      <c r="D34" s="1" t="s">
        <v>69</v>
      </c>
      <c r="E34" s="1" t="s">
        <v>50</v>
      </c>
    </row>
    <row r="35" spans="1:5" x14ac:dyDescent="0.3">
      <c r="A35" s="2">
        <v>45729</v>
      </c>
      <c r="B35" s="18">
        <v>14000</v>
      </c>
      <c r="C35" s="1" t="s">
        <v>52</v>
      </c>
      <c r="D35" s="1" t="s">
        <v>69</v>
      </c>
      <c r="E35" s="1" t="s">
        <v>50</v>
      </c>
    </row>
    <row r="36" spans="1:5" x14ac:dyDescent="0.3">
      <c r="A36" s="2">
        <v>45731</v>
      </c>
      <c r="B36" s="18">
        <v>153572</v>
      </c>
      <c r="C36" s="1" t="s">
        <v>52</v>
      </c>
      <c r="D36" s="1" t="s">
        <v>69</v>
      </c>
      <c r="E36" s="1" t="s">
        <v>50</v>
      </c>
    </row>
    <row r="37" spans="1:5" x14ac:dyDescent="0.3">
      <c r="A37" s="2">
        <v>45731</v>
      </c>
      <c r="B37" s="18">
        <v>22000</v>
      </c>
      <c r="C37" s="1" t="s">
        <v>52</v>
      </c>
      <c r="D37" s="1" t="s">
        <v>69</v>
      </c>
      <c r="E37" s="1" t="s">
        <v>50</v>
      </c>
    </row>
    <row r="38" spans="1:5" x14ac:dyDescent="0.3">
      <c r="A38" s="2">
        <v>45733</v>
      </c>
      <c r="B38" s="18">
        <v>28100</v>
      </c>
      <c r="C38" s="1" t="s">
        <v>52</v>
      </c>
      <c r="D38" s="1" t="s">
        <v>69</v>
      </c>
      <c r="E38" s="1" t="s">
        <v>50</v>
      </c>
    </row>
    <row r="39" spans="1:5" x14ac:dyDescent="0.3">
      <c r="A39" s="2">
        <v>45735</v>
      </c>
      <c r="B39" s="13">
        <v>45777</v>
      </c>
      <c r="C39" s="1" t="s">
        <v>72</v>
      </c>
      <c r="D39" s="1" t="s">
        <v>69</v>
      </c>
      <c r="E39" s="1" t="s">
        <v>50</v>
      </c>
    </row>
    <row r="40" spans="1:5" x14ac:dyDescent="0.3">
      <c r="A40" s="2">
        <v>45735</v>
      </c>
      <c r="B40" s="18">
        <v>53367</v>
      </c>
      <c r="C40" s="1" t="s">
        <v>73</v>
      </c>
      <c r="D40" s="1" t="s">
        <v>69</v>
      </c>
      <c r="E40" s="1" t="s">
        <v>50</v>
      </c>
    </row>
    <row r="41" spans="1:5" x14ac:dyDescent="0.3">
      <c r="A41" s="2">
        <v>45737</v>
      </c>
      <c r="B41" s="18">
        <v>8220</v>
      </c>
      <c r="C41" s="1" t="s">
        <v>72</v>
      </c>
      <c r="D41" s="1" t="s">
        <v>69</v>
      </c>
      <c r="E41" s="1" t="s">
        <v>50</v>
      </c>
    </row>
    <row r="42" spans="1:5" x14ac:dyDescent="0.3">
      <c r="A42" s="2">
        <v>45739</v>
      </c>
      <c r="B42" s="18">
        <v>48000</v>
      </c>
      <c r="C42" s="1" t="s">
        <v>52</v>
      </c>
      <c r="D42" s="1" t="s">
        <v>69</v>
      </c>
      <c r="E42" s="1" t="s">
        <v>50</v>
      </c>
    </row>
    <row r="43" spans="1:5" x14ac:dyDescent="0.3">
      <c r="A43" s="2">
        <v>45739</v>
      </c>
      <c r="B43" s="18">
        <v>25731</v>
      </c>
      <c r="C43" s="1" t="s">
        <v>52</v>
      </c>
      <c r="D43" s="1" t="s">
        <v>69</v>
      </c>
      <c r="E43" s="1" t="s">
        <v>50</v>
      </c>
    </row>
    <row r="44" spans="1:5" x14ac:dyDescent="0.3">
      <c r="A44" s="2">
        <v>45375</v>
      </c>
      <c r="B44" s="18">
        <v>85501</v>
      </c>
      <c r="C44" s="1" t="s">
        <v>52</v>
      </c>
      <c r="D44" s="1" t="s">
        <v>69</v>
      </c>
      <c r="E44" s="1" t="s">
        <v>50</v>
      </c>
    </row>
    <row r="45" spans="1:5" x14ac:dyDescent="0.3">
      <c r="A45" s="2">
        <v>45742</v>
      </c>
      <c r="B45" s="18">
        <v>358603</v>
      </c>
      <c r="C45" s="1" t="s">
        <v>66</v>
      </c>
      <c r="D45" s="1" t="s">
        <v>69</v>
      </c>
      <c r="E45" s="1" t="s">
        <v>54</v>
      </c>
    </row>
    <row r="46" spans="1:5" x14ac:dyDescent="0.3">
      <c r="A46" s="2">
        <v>45742</v>
      </c>
      <c r="B46" s="18">
        <v>100000</v>
      </c>
      <c r="C46" s="1" t="s">
        <v>75</v>
      </c>
      <c r="D46" s="1" t="s">
        <v>69</v>
      </c>
      <c r="E46" s="1" t="s">
        <v>54</v>
      </c>
    </row>
    <row r="47" spans="1:5" x14ac:dyDescent="0.3">
      <c r="A47" s="2">
        <v>45748</v>
      </c>
      <c r="B47" s="18">
        <v>39183</v>
      </c>
      <c r="C47" s="1" t="s">
        <v>66</v>
      </c>
      <c r="D47" s="31" t="s">
        <v>76</v>
      </c>
      <c r="E47" s="1" t="s">
        <v>54</v>
      </c>
    </row>
    <row r="48" spans="1:5" x14ac:dyDescent="0.3">
      <c r="A48" s="2">
        <v>45748</v>
      </c>
      <c r="B48" s="18">
        <v>37000</v>
      </c>
      <c r="C48" s="1" t="s">
        <v>66</v>
      </c>
      <c r="D48" s="31" t="s">
        <v>76</v>
      </c>
      <c r="E48" s="1" t="s">
        <v>54</v>
      </c>
    </row>
    <row r="49" spans="1:5" x14ac:dyDescent="0.3">
      <c r="A49" s="2">
        <v>45750</v>
      </c>
      <c r="B49" s="18">
        <v>30704</v>
      </c>
      <c r="C49" s="1" t="s">
        <v>66</v>
      </c>
      <c r="D49" s="31" t="s">
        <v>76</v>
      </c>
      <c r="E49" s="1" t="s">
        <v>54</v>
      </c>
    </row>
    <row r="50" spans="1:5" x14ac:dyDescent="0.3">
      <c r="A50" s="2">
        <v>45750</v>
      </c>
      <c r="B50" s="18">
        <v>15073</v>
      </c>
      <c r="C50" s="1" t="s">
        <v>66</v>
      </c>
      <c r="D50" s="31" t="s">
        <v>76</v>
      </c>
      <c r="E50" s="1" t="s">
        <v>54</v>
      </c>
    </row>
    <row r="51" spans="1:5" x14ac:dyDescent="0.3">
      <c r="A51" s="2">
        <v>45754</v>
      </c>
      <c r="B51" s="18">
        <v>11930</v>
      </c>
      <c r="C51" s="1" t="s">
        <v>66</v>
      </c>
      <c r="D51" s="31" t="s">
        <v>76</v>
      </c>
      <c r="E51" s="1" t="s">
        <v>54</v>
      </c>
    </row>
    <row r="52" spans="1:5" x14ac:dyDescent="0.3">
      <c r="A52" s="2">
        <v>45756</v>
      </c>
      <c r="B52" s="18">
        <v>47080</v>
      </c>
      <c r="C52" s="1" t="s">
        <v>66</v>
      </c>
      <c r="D52" s="31" t="s">
        <v>76</v>
      </c>
      <c r="E52" s="1" t="s">
        <v>54</v>
      </c>
    </row>
    <row r="53" spans="1:5" x14ac:dyDescent="0.3">
      <c r="A53" s="2">
        <v>45758</v>
      </c>
      <c r="B53" s="18">
        <v>34597</v>
      </c>
      <c r="C53" s="1" t="s">
        <v>66</v>
      </c>
      <c r="D53" s="31" t="s">
        <v>76</v>
      </c>
      <c r="E53" s="1" t="s">
        <v>54</v>
      </c>
    </row>
    <row r="54" spans="1:5" x14ac:dyDescent="0.3">
      <c r="A54" s="2">
        <v>45759</v>
      </c>
      <c r="B54" s="18">
        <v>45345</v>
      </c>
      <c r="C54" s="1" t="s">
        <v>66</v>
      </c>
      <c r="D54" s="31" t="s">
        <v>76</v>
      </c>
      <c r="E54" s="1" t="s">
        <v>54</v>
      </c>
    </row>
    <row r="55" spans="1:5" x14ac:dyDescent="0.3">
      <c r="A55" s="2">
        <v>45761</v>
      </c>
      <c r="B55" s="18">
        <v>22150</v>
      </c>
      <c r="C55" s="1" t="s">
        <v>66</v>
      </c>
      <c r="D55" s="31" t="s">
        <v>76</v>
      </c>
      <c r="E55" s="1" t="s">
        <v>54</v>
      </c>
    </row>
    <row r="56" spans="1:5" x14ac:dyDescent="0.3">
      <c r="A56" s="2">
        <v>45762</v>
      </c>
      <c r="B56" s="18">
        <v>27475</v>
      </c>
      <c r="C56" s="1" t="s">
        <v>66</v>
      </c>
      <c r="D56" s="31" t="s">
        <v>76</v>
      </c>
      <c r="E56" s="1" t="s">
        <v>54</v>
      </c>
    </row>
    <row r="57" spans="1:5" x14ac:dyDescent="0.3">
      <c r="A57" s="2">
        <v>45764</v>
      </c>
      <c r="B57" s="18">
        <v>12350</v>
      </c>
      <c r="C57" s="1" t="s">
        <v>66</v>
      </c>
      <c r="D57" s="31" t="s">
        <v>76</v>
      </c>
      <c r="E57" s="1" t="s">
        <v>54</v>
      </c>
    </row>
    <row r="58" spans="1:5" x14ac:dyDescent="0.3">
      <c r="A58" s="2">
        <v>45764</v>
      </c>
      <c r="B58" s="18">
        <v>24592</v>
      </c>
      <c r="C58" s="1" t="s">
        <v>66</v>
      </c>
      <c r="D58" s="31" t="s">
        <v>76</v>
      </c>
      <c r="E58" s="1" t="s">
        <v>54</v>
      </c>
    </row>
    <row r="59" spans="1:5" x14ac:dyDescent="0.3">
      <c r="A59" s="2">
        <v>45765</v>
      </c>
      <c r="B59" s="18">
        <v>30000</v>
      </c>
      <c r="C59" s="1" t="s">
        <v>66</v>
      </c>
      <c r="D59" s="31" t="s">
        <v>76</v>
      </c>
      <c r="E59" s="1" t="s">
        <v>54</v>
      </c>
    </row>
    <row r="60" spans="1:5" x14ac:dyDescent="0.3">
      <c r="A60" s="2">
        <v>45766</v>
      </c>
      <c r="B60" s="18">
        <v>20000</v>
      </c>
      <c r="C60" s="1" t="s">
        <v>66</v>
      </c>
      <c r="D60" s="31" t="s">
        <v>76</v>
      </c>
      <c r="E60" s="1" t="s">
        <v>54</v>
      </c>
    </row>
    <row r="61" spans="1:5" x14ac:dyDescent="0.3">
      <c r="A61" s="2">
        <v>45768</v>
      </c>
      <c r="B61" s="18">
        <v>129972</v>
      </c>
      <c r="C61" s="1" t="s">
        <v>66</v>
      </c>
      <c r="D61" s="31" t="s">
        <v>76</v>
      </c>
      <c r="E61" s="1" t="s">
        <v>54</v>
      </c>
    </row>
    <row r="62" spans="1:5" x14ac:dyDescent="0.3">
      <c r="A62" s="2">
        <v>45770</v>
      </c>
      <c r="B62" s="18">
        <v>13000</v>
      </c>
      <c r="C62" s="1" t="s">
        <v>66</v>
      </c>
      <c r="D62" s="31" t="s">
        <v>76</v>
      </c>
      <c r="E62" s="1" t="s">
        <v>54</v>
      </c>
    </row>
    <row r="63" spans="1:5" x14ac:dyDescent="0.3">
      <c r="A63" s="2">
        <v>45772</v>
      </c>
      <c r="B63" s="18">
        <v>2300</v>
      </c>
      <c r="C63" s="1" t="s">
        <v>66</v>
      </c>
      <c r="D63" s="31" t="s">
        <v>76</v>
      </c>
      <c r="E63" s="1" t="s">
        <v>54</v>
      </c>
    </row>
    <row r="64" spans="1:5" x14ac:dyDescent="0.3">
      <c r="A64" s="2">
        <v>45773</v>
      </c>
      <c r="B64" s="18">
        <v>62935</v>
      </c>
      <c r="C64" s="1" t="s">
        <v>66</v>
      </c>
      <c r="D64" s="31" t="s">
        <v>76</v>
      </c>
      <c r="E64" s="1" t="s">
        <v>54</v>
      </c>
    </row>
    <row r="65" spans="1:5" x14ac:dyDescent="0.3">
      <c r="A65" s="2">
        <v>45775</v>
      </c>
      <c r="B65" s="18">
        <v>82700</v>
      </c>
      <c r="C65" s="1" t="s">
        <v>66</v>
      </c>
      <c r="D65" s="31" t="s">
        <v>76</v>
      </c>
      <c r="E65" s="1" t="s">
        <v>54</v>
      </c>
    </row>
    <row r="66" spans="1:5" x14ac:dyDescent="0.3">
      <c r="A66" s="2">
        <v>45775</v>
      </c>
      <c r="B66" s="18">
        <v>383773</v>
      </c>
      <c r="C66" s="1" t="s">
        <v>66</v>
      </c>
      <c r="D66" s="31" t="s">
        <v>76</v>
      </c>
      <c r="E66" s="1" t="s">
        <v>54</v>
      </c>
    </row>
    <row r="67" spans="1:5" x14ac:dyDescent="0.3">
      <c r="A67" s="2">
        <v>45782</v>
      </c>
      <c r="B67" s="18">
        <v>29000</v>
      </c>
      <c r="C67" s="1" t="s">
        <v>65</v>
      </c>
      <c r="D67" s="1" t="s">
        <v>81</v>
      </c>
      <c r="E67" s="1" t="s">
        <v>50</v>
      </c>
    </row>
    <row r="68" spans="1:5" x14ac:dyDescent="0.3">
      <c r="A68" s="2">
        <v>45782</v>
      </c>
      <c r="B68" s="18">
        <v>199504</v>
      </c>
      <c r="C68" s="1" t="s">
        <v>66</v>
      </c>
      <c r="D68" s="1" t="s">
        <v>81</v>
      </c>
      <c r="E68" s="1" t="s">
        <v>50</v>
      </c>
    </row>
    <row r="69" spans="1:5" x14ac:dyDescent="0.3">
      <c r="A69" s="2">
        <v>45785</v>
      </c>
      <c r="B69" s="18">
        <v>6250</v>
      </c>
      <c r="C69" s="1" t="s">
        <v>66</v>
      </c>
      <c r="D69" s="1" t="s">
        <v>81</v>
      </c>
      <c r="E69" s="1" t="s">
        <v>50</v>
      </c>
    </row>
    <row r="70" spans="1:5" x14ac:dyDescent="0.3">
      <c r="A70" s="2">
        <v>45787</v>
      </c>
      <c r="B70" s="18">
        <v>10233</v>
      </c>
      <c r="C70" s="1" t="s">
        <v>66</v>
      </c>
      <c r="D70" s="1" t="s">
        <v>81</v>
      </c>
      <c r="E70" s="1" t="s">
        <v>50</v>
      </c>
    </row>
    <row r="71" spans="1:5" x14ac:dyDescent="0.3">
      <c r="A71" s="2">
        <v>45788</v>
      </c>
      <c r="B71" s="18">
        <v>20000</v>
      </c>
      <c r="C71" s="1" t="s">
        <v>66</v>
      </c>
      <c r="D71" s="1" t="s">
        <v>81</v>
      </c>
      <c r="E71" s="1" t="s">
        <v>50</v>
      </c>
    </row>
    <row r="72" spans="1:5" x14ac:dyDescent="0.3">
      <c r="A72" s="2">
        <v>45789</v>
      </c>
      <c r="B72" s="19">
        <v>80000</v>
      </c>
      <c r="C72" s="1" t="s">
        <v>66</v>
      </c>
      <c r="D72" s="1" t="s">
        <v>81</v>
      </c>
      <c r="E72" s="1" t="s">
        <v>50</v>
      </c>
    </row>
    <row r="73" spans="1:5" x14ac:dyDescent="0.3">
      <c r="A73" s="2">
        <v>45791</v>
      </c>
      <c r="B73" s="18">
        <v>202727</v>
      </c>
      <c r="C73" s="1" t="s">
        <v>66</v>
      </c>
      <c r="D73" s="1" t="s">
        <v>81</v>
      </c>
      <c r="E73" s="1" t="s">
        <v>50</v>
      </c>
    </row>
    <row r="74" spans="1:5" x14ac:dyDescent="0.3">
      <c r="A74" s="2">
        <v>45794</v>
      </c>
      <c r="B74" s="18">
        <v>49000</v>
      </c>
      <c r="C74" s="1" t="s">
        <v>66</v>
      </c>
      <c r="D74" s="1" t="s">
        <v>81</v>
      </c>
      <c r="E74" s="1" t="s">
        <v>50</v>
      </c>
    </row>
    <row r="75" spans="1:5" x14ac:dyDescent="0.3">
      <c r="A75" s="2">
        <v>45794</v>
      </c>
      <c r="B75" s="18">
        <v>9150</v>
      </c>
      <c r="C75" s="1" t="s">
        <v>66</v>
      </c>
      <c r="D75" s="1" t="s">
        <v>81</v>
      </c>
      <c r="E75" s="1" t="s">
        <v>50</v>
      </c>
    </row>
    <row r="76" spans="1:5" x14ac:dyDescent="0.3">
      <c r="A76" s="2">
        <v>45797</v>
      </c>
      <c r="B76" s="18">
        <v>24874</v>
      </c>
      <c r="C76" s="1" t="s">
        <v>66</v>
      </c>
      <c r="D76" s="1" t="s">
        <v>81</v>
      </c>
      <c r="E76" s="1" t="s">
        <v>50</v>
      </c>
    </row>
    <row r="77" spans="1:5" x14ac:dyDescent="0.3">
      <c r="A77" s="2">
        <v>45797</v>
      </c>
      <c r="B77" s="18">
        <v>153325</v>
      </c>
      <c r="C77" s="1" t="s">
        <v>65</v>
      </c>
      <c r="D77" s="1" t="s">
        <v>81</v>
      </c>
      <c r="E77" s="1" t="s">
        <v>50</v>
      </c>
    </row>
    <row r="78" spans="1:5" x14ac:dyDescent="0.3">
      <c r="A78" s="2">
        <v>45799</v>
      </c>
      <c r="B78" s="18">
        <v>34117</v>
      </c>
      <c r="C78" s="1" t="s">
        <v>66</v>
      </c>
      <c r="D78" s="1" t="s">
        <v>81</v>
      </c>
      <c r="E78" s="1" t="s">
        <v>50</v>
      </c>
    </row>
    <row r="79" spans="1:5" x14ac:dyDescent="0.3">
      <c r="A79" s="2">
        <v>45802</v>
      </c>
      <c r="B79" s="18">
        <v>21600</v>
      </c>
      <c r="C79" s="1" t="s">
        <v>66</v>
      </c>
      <c r="D79" s="1" t="s">
        <v>81</v>
      </c>
      <c r="E79" s="1" t="s">
        <v>50</v>
      </c>
    </row>
    <row r="80" spans="1:5" x14ac:dyDescent="0.3">
      <c r="A80" s="2">
        <v>45804</v>
      </c>
      <c r="B80" s="18">
        <v>146635</v>
      </c>
      <c r="C80" s="1" t="s">
        <v>66</v>
      </c>
      <c r="D80" s="1" t="s">
        <v>81</v>
      </c>
      <c r="E80" s="1" t="s">
        <v>50</v>
      </c>
    </row>
    <row r="81" spans="1:5" x14ac:dyDescent="0.3">
      <c r="A81" s="2">
        <v>45804</v>
      </c>
      <c r="B81" s="18">
        <v>20000</v>
      </c>
      <c r="C81" s="1" t="s">
        <v>66</v>
      </c>
      <c r="D81" s="1" t="s">
        <v>81</v>
      </c>
      <c r="E81" s="1" t="s">
        <v>50</v>
      </c>
    </row>
    <row r="82" spans="1:5" x14ac:dyDescent="0.3">
      <c r="A82" s="2">
        <v>45805</v>
      </c>
      <c r="B82" s="18">
        <v>11000</v>
      </c>
      <c r="C82" s="1" t="s">
        <v>66</v>
      </c>
      <c r="D82" s="1" t="s">
        <v>81</v>
      </c>
      <c r="E82" s="1" t="s">
        <v>50</v>
      </c>
    </row>
    <row r="83" spans="1:5" x14ac:dyDescent="0.3">
      <c r="A83" s="2">
        <v>45807</v>
      </c>
      <c r="B83" s="18">
        <v>44241</v>
      </c>
      <c r="C83" s="1" t="s">
        <v>66</v>
      </c>
      <c r="D83" s="1" t="s">
        <v>81</v>
      </c>
      <c r="E83" s="1" t="s">
        <v>50</v>
      </c>
    </row>
    <row r="84" spans="1:5" x14ac:dyDescent="0.3">
      <c r="A84" s="2">
        <v>45807</v>
      </c>
      <c r="B84" s="18">
        <v>234285</v>
      </c>
      <c r="C84" s="1" t="s">
        <v>66</v>
      </c>
      <c r="D84" s="1" t="s">
        <v>81</v>
      </c>
      <c r="E84" s="1" t="s">
        <v>50</v>
      </c>
    </row>
    <row r="85" spans="1:5" x14ac:dyDescent="0.3">
      <c r="A85" s="2">
        <v>45808</v>
      </c>
      <c r="B85" s="18">
        <v>107350</v>
      </c>
      <c r="C85" s="1" t="s">
        <v>66</v>
      </c>
      <c r="D85" s="1" t="s">
        <v>81</v>
      </c>
      <c r="E85" s="1" t="s">
        <v>50</v>
      </c>
    </row>
    <row r="86" spans="1:5" x14ac:dyDescent="0.3">
      <c r="A86" s="2">
        <v>45808</v>
      </c>
      <c r="B86" s="18">
        <v>44830</v>
      </c>
      <c r="C86" s="1" t="s">
        <v>66</v>
      </c>
      <c r="D86" s="1" t="s">
        <v>81</v>
      </c>
      <c r="E86" s="1" t="s">
        <v>50</v>
      </c>
    </row>
    <row r="87" spans="1:5" x14ac:dyDescent="0.3">
      <c r="A87" s="2">
        <v>45810</v>
      </c>
      <c r="B87" s="18">
        <v>18100</v>
      </c>
      <c r="C87" s="1" t="s">
        <v>66</v>
      </c>
      <c r="D87" s="1" t="s">
        <v>96</v>
      </c>
      <c r="E87" s="1" t="s">
        <v>50</v>
      </c>
    </row>
    <row r="88" spans="1:5" x14ac:dyDescent="0.3">
      <c r="A88" s="2">
        <v>45813</v>
      </c>
      <c r="B88" s="13">
        <v>17938</v>
      </c>
      <c r="C88" s="1" t="s">
        <v>66</v>
      </c>
      <c r="D88" s="1" t="s">
        <v>96</v>
      </c>
      <c r="E88" s="1" t="s">
        <v>50</v>
      </c>
    </row>
    <row r="89" spans="1:5" x14ac:dyDescent="0.3">
      <c r="A89" s="2">
        <v>45813</v>
      </c>
      <c r="B89" s="18">
        <v>45310</v>
      </c>
      <c r="C89" s="1" t="s">
        <v>66</v>
      </c>
      <c r="D89" s="1" t="s">
        <v>96</v>
      </c>
      <c r="E89" s="1" t="s">
        <v>50</v>
      </c>
    </row>
    <row r="90" spans="1:5" x14ac:dyDescent="0.3">
      <c r="A90" s="2">
        <v>45817</v>
      </c>
      <c r="B90" s="18">
        <v>18900</v>
      </c>
      <c r="C90" s="1" t="s">
        <v>101</v>
      </c>
      <c r="D90" s="1" t="s">
        <v>96</v>
      </c>
      <c r="E90" s="1" t="s">
        <v>50</v>
      </c>
    </row>
    <row r="91" spans="1:5" x14ac:dyDescent="0.3">
      <c r="A91" s="2">
        <v>45817</v>
      </c>
      <c r="B91" s="18">
        <v>173875</v>
      </c>
      <c r="C91" s="1" t="s">
        <v>66</v>
      </c>
      <c r="D91" s="1" t="s">
        <v>96</v>
      </c>
      <c r="E91" s="1" t="s">
        <v>50</v>
      </c>
    </row>
    <row r="92" spans="1:5" x14ac:dyDescent="0.3">
      <c r="A92" s="2">
        <v>45817</v>
      </c>
      <c r="B92" s="18">
        <v>11800</v>
      </c>
      <c r="C92" s="1" t="s">
        <v>51</v>
      </c>
      <c r="D92" s="1" t="s">
        <v>96</v>
      </c>
      <c r="E92" s="1" t="s">
        <v>50</v>
      </c>
    </row>
    <row r="93" spans="1:5" x14ac:dyDescent="0.3">
      <c r="A93" s="2">
        <v>45820</v>
      </c>
      <c r="B93" s="18">
        <v>32894</v>
      </c>
      <c r="C93" s="1" t="s">
        <v>66</v>
      </c>
      <c r="D93" s="1" t="s">
        <v>96</v>
      </c>
      <c r="E93" s="1" t="s">
        <v>50</v>
      </c>
    </row>
    <row r="94" spans="1:5" x14ac:dyDescent="0.3">
      <c r="A94" s="2">
        <v>45812</v>
      </c>
      <c r="B94" s="18">
        <v>20370</v>
      </c>
      <c r="C94" s="1" t="s">
        <v>66</v>
      </c>
      <c r="D94" s="1" t="s">
        <v>96</v>
      </c>
      <c r="E94" s="1" t="s">
        <v>50</v>
      </c>
    </row>
    <row r="95" spans="1:5" x14ac:dyDescent="0.3">
      <c r="A95" s="2">
        <v>45822</v>
      </c>
      <c r="B95" s="18">
        <v>43956</v>
      </c>
      <c r="C95" s="1" t="s">
        <v>66</v>
      </c>
      <c r="D95" s="1" t="s">
        <v>96</v>
      </c>
      <c r="E95" s="1" t="s">
        <v>50</v>
      </c>
    </row>
    <row r="96" spans="1:5" x14ac:dyDescent="0.3">
      <c r="A96" s="2">
        <v>45823</v>
      </c>
      <c r="B96" s="18">
        <v>148548</v>
      </c>
      <c r="C96" s="1" t="s">
        <v>66</v>
      </c>
      <c r="D96" s="1" t="s">
        <v>96</v>
      </c>
      <c r="E96" s="1" t="s">
        <v>50</v>
      </c>
    </row>
    <row r="97" spans="1:5" x14ac:dyDescent="0.3">
      <c r="A97" s="2">
        <v>45827</v>
      </c>
      <c r="B97" s="18">
        <v>88500</v>
      </c>
      <c r="C97" s="1" t="s">
        <v>110</v>
      </c>
      <c r="D97" s="1" t="s">
        <v>96</v>
      </c>
      <c r="E97" s="1" t="s">
        <v>50</v>
      </c>
    </row>
    <row r="98" spans="1:5" x14ac:dyDescent="0.3">
      <c r="A98" s="2">
        <v>45827</v>
      </c>
      <c r="B98" s="18">
        <v>50520</v>
      </c>
      <c r="C98" s="1" t="s">
        <v>66</v>
      </c>
      <c r="D98" s="1" t="s">
        <v>96</v>
      </c>
      <c r="E98" s="1" t="s">
        <v>50</v>
      </c>
    </row>
    <row r="99" spans="1:5" x14ac:dyDescent="0.3">
      <c r="A99" s="2">
        <v>45830</v>
      </c>
      <c r="B99" s="18">
        <v>36591</v>
      </c>
      <c r="C99" s="1" t="s">
        <v>66</v>
      </c>
      <c r="D99" s="1" t="s">
        <v>96</v>
      </c>
      <c r="E99" s="1" t="s">
        <v>50</v>
      </c>
    </row>
    <row r="100" spans="1:5" x14ac:dyDescent="0.3">
      <c r="A100" s="2">
        <v>45833</v>
      </c>
      <c r="B100" s="18">
        <v>13500</v>
      </c>
      <c r="C100" s="1" t="s">
        <v>112</v>
      </c>
      <c r="D100" s="1" t="s">
        <v>96</v>
      </c>
      <c r="E100" s="1" t="s">
        <v>50</v>
      </c>
    </row>
    <row r="101" spans="1:5" x14ac:dyDescent="0.3">
      <c r="A101" s="2" t="s">
        <v>111</v>
      </c>
      <c r="B101" s="18">
        <v>325746</v>
      </c>
      <c r="C101" s="1" t="s">
        <v>66</v>
      </c>
      <c r="D101" s="1" t="s">
        <v>96</v>
      </c>
      <c r="E101" s="1" t="s">
        <v>50</v>
      </c>
    </row>
    <row r="102" spans="1:5" x14ac:dyDescent="0.3">
      <c r="A102" s="2">
        <v>45834</v>
      </c>
      <c r="B102" s="18">
        <v>20700</v>
      </c>
      <c r="C102" s="1" t="s">
        <v>66</v>
      </c>
      <c r="D102" s="1" t="s">
        <v>96</v>
      </c>
      <c r="E102" s="1" t="s">
        <v>50</v>
      </c>
    </row>
    <row r="103" spans="1:5" x14ac:dyDescent="0.3">
      <c r="A103" s="2">
        <v>45835</v>
      </c>
      <c r="B103" s="18">
        <v>27034</v>
      </c>
      <c r="C103" s="1" t="s">
        <v>66</v>
      </c>
      <c r="D103" s="1" t="s">
        <v>96</v>
      </c>
      <c r="E103" s="1" t="s">
        <v>50</v>
      </c>
    </row>
    <row r="104" spans="1:5" x14ac:dyDescent="0.3">
      <c r="A104" s="2">
        <v>45838</v>
      </c>
      <c r="B104" s="18">
        <v>148521</v>
      </c>
      <c r="C104" s="1" t="s">
        <v>66</v>
      </c>
      <c r="D104" s="1" t="s">
        <v>96</v>
      </c>
      <c r="E104" s="1" t="s">
        <v>50</v>
      </c>
    </row>
    <row r="105" spans="1:5" x14ac:dyDescent="0.3">
      <c r="A105" s="2">
        <v>45838</v>
      </c>
      <c r="B105" s="18">
        <v>250000</v>
      </c>
      <c r="C105" s="1" t="s">
        <v>66</v>
      </c>
      <c r="D105" s="1" t="s">
        <v>96</v>
      </c>
      <c r="E105" s="1" t="s">
        <v>50</v>
      </c>
    </row>
    <row r="106" spans="1:5" x14ac:dyDescent="0.3">
      <c r="A106" s="2">
        <v>45841</v>
      </c>
      <c r="B106" s="18">
        <v>35400</v>
      </c>
      <c r="C106" s="1" t="s">
        <v>66</v>
      </c>
      <c r="D106" s="1" t="s">
        <v>114</v>
      </c>
      <c r="E106" s="1" t="s">
        <v>50</v>
      </c>
    </row>
    <row r="107" spans="1:5" x14ac:dyDescent="0.3">
      <c r="A107" s="2">
        <v>45843</v>
      </c>
      <c r="B107" s="18">
        <v>218908</v>
      </c>
      <c r="C107" s="1" t="s">
        <v>66</v>
      </c>
      <c r="D107" s="1" t="s">
        <v>114</v>
      </c>
      <c r="E107" s="1" t="s">
        <v>50</v>
      </c>
    </row>
    <row r="108" spans="1:5" x14ac:dyDescent="0.3">
      <c r="A108" s="2">
        <v>45845</v>
      </c>
      <c r="B108" s="18">
        <v>35400</v>
      </c>
      <c r="C108" s="1" t="s">
        <v>66</v>
      </c>
      <c r="D108" s="1" t="s">
        <v>114</v>
      </c>
      <c r="E108" s="1" t="s">
        <v>50</v>
      </c>
    </row>
    <row r="109" spans="1:5" x14ac:dyDescent="0.3">
      <c r="A109" s="2">
        <v>45849</v>
      </c>
      <c r="B109" s="18">
        <v>43244</v>
      </c>
      <c r="C109" s="1" t="s">
        <v>66</v>
      </c>
      <c r="D109" s="1" t="s">
        <v>114</v>
      </c>
      <c r="E109" s="1" t="s">
        <v>50</v>
      </c>
    </row>
    <row r="110" spans="1:5" x14ac:dyDescent="0.3">
      <c r="A110" s="2">
        <v>45850</v>
      </c>
      <c r="B110" s="18">
        <v>426815</v>
      </c>
      <c r="C110" s="1" t="s">
        <v>66</v>
      </c>
      <c r="D110" s="1" t="s">
        <v>114</v>
      </c>
      <c r="E110" s="1" t="s">
        <v>50</v>
      </c>
    </row>
    <row r="111" spans="1:5" x14ac:dyDescent="0.3">
      <c r="A111" s="2">
        <v>45852</v>
      </c>
      <c r="B111" s="18">
        <v>140500</v>
      </c>
      <c r="C111" s="1" t="s">
        <v>75</v>
      </c>
      <c r="D111" s="1" t="s">
        <v>114</v>
      </c>
      <c r="E111" s="1" t="s">
        <v>50</v>
      </c>
    </row>
    <row r="112" spans="1:5" x14ac:dyDescent="0.3">
      <c r="A112" s="2">
        <v>45854</v>
      </c>
      <c r="B112" s="18">
        <v>45300</v>
      </c>
      <c r="C112" s="1" t="s">
        <v>66</v>
      </c>
      <c r="D112" s="1" t="s">
        <v>114</v>
      </c>
      <c r="E112" s="1" t="s">
        <v>50</v>
      </c>
    </row>
    <row r="113" spans="1:5" x14ac:dyDescent="0.3">
      <c r="A113" s="2">
        <v>45860</v>
      </c>
      <c r="B113" s="18">
        <v>268092</v>
      </c>
      <c r="C113" s="1" t="s">
        <v>66</v>
      </c>
      <c r="D113" s="1" t="s">
        <v>114</v>
      </c>
      <c r="E113" s="1" t="s">
        <v>50</v>
      </c>
    </row>
    <row r="114" spans="1:5" x14ac:dyDescent="0.3">
      <c r="A114" s="2">
        <v>45862</v>
      </c>
      <c r="B114" s="18">
        <v>11900</v>
      </c>
      <c r="C114" s="1" t="s">
        <v>66</v>
      </c>
      <c r="D114" s="1" t="s">
        <v>114</v>
      </c>
      <c r="E114" s="1" t="s">
        <v>50</v>
      </c>
    </row>
    <row r="115" spans="1:5" x14ac:dyDescent="0.3">
      <c r="A115" s="2">
        <v>45864</v>
      </c>
      <c r="B115" s="18">
        <v>72660</v>
      </c>
      <c r="C115" s="1" t="s">
        <v>66</v>
      </c>
      <c r="D115" s="1" t="s">
        <v>114</v>
      </c>
      <c r="E115" s="1" t="s">
        <v>50</v>
      </c>
    </row>
    <row r="116" spans="1:5" x14ac:dyDescent="0.3">
      <c r="A116" s="2">
        <v>45864</v>
      </c>
      <c r="B116" s="18">
        <v>75400</v>
      </c>
      <c r="C116" s="1" t="s">
        <v>66</v>
      </c>
      <c r="D116" s="1" t="s">
        <v>114</v>
      </c>
      <c r="E116" s="1" t="s">
        <v>50</v>
      </c>
    </row>
    <row r="117" spans="1:5" x14ac:dyDescent="0.3">
      <c r="A117" s="2">
        <v>45865</v>
      </c>
      <c r="B117" s="18">
        <v>40580</v>
      </c>
      <c r="C117" s="1" t="s">
        <v>66</v>
      </c>
      <c r="D117" s="1" t="s">
        <v>114</v>
      </c>
      <c r="E117" s="1" t="s">
        <v>50</v>
      </c>
    </row>
    <row r="118" spans="1:5" x14ac:dyDescent="0.3">
      <c r="A118" s="2">
        <v>45865</v>
      </c>
      <c r="B118" s="18">
        <v>40000</v>
      </c>
      <c r="C118" s="1" t="s">
        <v>66</v>
      </c>
      <c r="D118" s="1" t="s">
        <v>114</v>
      </c>
      <c r="E118" s="1" t="s">
        <v>50</v>
      </c>
    </row>
    <row r="119" spans="1:5" x14ac:dyDescent="0.3">
      <c r="A119" s="2">
        <v>45896</v>
      </c>
      <c r="B119" s="18">
        <v>80000</v>
      </c>
      <c r="C119" s="1" t="s">
        <v>66</v>
      </c>
      <c r="D119" s="1" t="s">
        <v>114</v>
      </c>
      <c r="E119" s="1" t="s">
        <v>50</v>
      </c>
    </row>
    <row r="120" spans="1:5" x14ac:dyDescent="0.3">
      <c r="A120" s="2">
        <v>45869</v>
      </c>
      <c r="B120" s="18">
        <v>143900</v>
      </c>
      <c r="C120" s="1" t="s">
        <v>66</v>
      </c>
      <c r="D120" s="1" t="s">
        <v>114</v>
      </c>
      <c r="E120" s="1" t="s">
        <v>50</v>
      </c>
    </row>
    <row r="121" spans="1:5" x14ac:dyDescent="0.3">
      <c r="A121" s="2">
        <v>45870</v>
      </c>
      <c r="B121" s="18">
        <v>181660</v>
      </c>
      <c r="C121" s="1" t="s">
        <v>66</v>
      </c>
      <c r="D121" s="1" t="s">
        <v>119</v>
      </c>
      <c r="E121" s="1" t="s">
        <v>50</v>
      </c>
    </row>
    <row r="122" spans="1:5" x14ac:dyDescent="0.3">
      <c r="A122" s="2">
        <v>45871</v>
      </c>
      <c r="B122" s="18">
        <v>275406</v>
      </c>
      <c r="C122" s="1" t="s">
        <v>66</v>
      </c>
      <c r="D122" s="1" t="s">
        <v>119</v>
      </c>
      <c r="E122" s="1" t="s">
        <v>50</v>
      </c>
    </row>
    <row r="123" spans="1:5" x14ac:dyDescent="0.3">
      <c r="A123" s="2">
        <v>45718</v>
      </c>
      <c r="B123" s="18">
        <v>41000</v>
      </c>
      <c r="C123" s="1" t="s">
        <v>66</v>
      </c>
      <c r="D123" s="1" t="s">
        <v>119</v>
      </c>
      <c r="E123" s="1" t="s">
        <v>50</v>
      </c>
    </row>
    <row r="124" spans="1:5" x14ac:dyDescent="0.3">
      <c r="A124" s="2">
        <v>45877</v>
      </c>
      <c r="B124" s="18">
        <v>100000</v>
      </c>
      <c r="C124" s="1" t="s">
        <v>75</v>
      </c>
      <c r="D124" s="1" t="s">
        <v>119</v>
      </c>
      <c r="E124" s="1" t="s">
        <v>50</v>
      </c>
    </row>
    <row r="125" spans="1:5" x14ac:dyDescent="0.3">
      <c r="A125" s="2">
        <v>45877</v>
      </c>
      <c r="B125" s="18">
        <v>27000</v>
      </c>
      <c r="C125" s="1" t="s">
        <v>66</v>
      </c>
      <c r="D125" s="1" t="s">
        <v>119</v>
      </c>
      <c r="E125" s="1" t="s">
        <v>50</v>
      </c>
    </row>
    <row r="126" spans="1:5" x14ac:dyDescent="0.3">
      <c r="A126" s="2">
        <v>45878</v>
      </c>
      <c r="B126" s="18">
        <v>67500</v>
      </c>
      <c r="C126" s="1" t="s">
        <v>66</v>
      </c>
      <c r="D126" s="1" t="s">
        <v>119</v>
      </c>
      <c r="E126" s="1" t="s">
        <v>50</v>
      </c>
    </row>
    <row r="127" spans="1:5" x14ac:dyDescent="0.3">
      <c r="A127" s="2">
        <v>45880</v>
      </c>
      <c r="B127" s="18">
        <v>127693</v>
      </c>
      <c r="C127" s="1" t="s">
        <v>66</v>
      </c>
      <c r="D127" s="1" t="s">
        <v>119</v>
      </c>
      <c r="E127" s="1" t="s">
        <v>50</v>
      </c>
    </row>
    <row r="128" spans="1:5" x14ac:dyDescent="0.3">
      <c r="A128" s="2">
        <v>45882</v>
      </c>
      <c r="B128" s="18">
        <v>183930</v>
      </c>
      <c r="C128" s="1" t="s">
        <v>66</v>
      </c>
      <c r="D128" s="1" t="s">
        <v>119</v>
      </c>
      <c r="E128" s="1" t="s">
        <v>50</v>
      </c>
    </row>
    <row r="129" spans="1:5" x14ac:dyDescent="0.3">
      <c r="A129" s="2">
        <v>45884</v>
      </c>
      <c r="B129" s="18">
        <v>29045</v>
      </c>
      <c r="C129" s="1" t="s">
        <v>66</v>
      </c>
      <c r="D129" s="1" t="s">
        <v>119</v>
      </c>
      <c r="E129" s="1" t="s">
        <v>50</v>
      </c>
    </row>
    <row r="130" spans="1:5" x14ac:dyDescent="0.3">
      <c r="A130" s="2">
        <v>45885</v>
      </c>
      <c r="B130" s="18">
        <v>13000</v>
      </c>
      <c r="C130" s="1" t="s">
        <v>66</v>
      </c>
      <c r="D130" s="1" t="s">
        <v>119</v>
      </c>
      <c r="E130" s="1" t="s">
        <v>50</v>
      </c>
    </row>
    <row r="131" spans="1:5" x14ac:dyDescent="0.3">
      <c r="A131" s="2">
        <v>45887</v>
      </c>
      <c r="B131" s="18">
        <v>48337</v>
      </c>
      <c r="C131" s="1" t="s">
        <v>66</v>
      </c>
      <c r="D131" s="1" t="s">
        <v>119</v>
      </c>
      <c r="E131" s="1" t="s">
        <v>50</v>
      </c>
    </row>
    <row r="132" spans="1:5" x14ac:dyDescent="0.3">
      <c r="A132" s="2">
        <v>45889</v>
      </c>
      <c r="B132" s="18">
        <v>127879</v>
      </c>
      <c r="C132" s="1" t="s">
        <v>66</v>
      </c>
      <c r="D132" s="1" t="s">
        <v>119</v>
      </c>
      <c r="E132" s="1" t="s">
        <v>50</v>
      </c>
    </row>
    <row r="133" spans="1:5" x14ac:dyDescent="0.3">
      <c r="A133" s="2">
        <v>45892</v>
      </c>
      <c r="B133" s="18">
        <v>41000</v>
      </c>
      <c r="C133" s="1" t="s">
        <v>66</v>
      </c>
      <c r="D133" s="1" t="s">
        <v>119</v>
      </c>
      <c r="E133" s="1" t="s">
        <v>50</v>
      </c>
    </row>
    <row r="134" spans="1:5" x14ac:dyDescent="0.3">
      <c r="A134" s="2">
        <v>45892</v>
      </c>
      <c r="B134" s="18">
        <v>166600</v>
      </c>
      <c r="C134" s="1" t="s">
        <v>125</v>
      </c>
      <c r="D134" s="1" t="s">
        <v>119</v>
      </c>
      <c r="E134" s="1" t="s">
        <v>50</v>
      </c>
    </row>
    <row r="135" spans="1:5" x14ac:dyDescent="0.3">
      <c r="A135" s="2">
        <v>45893</v>
      </c>
      <c r="B135" s="18">
        <v>2300</v>
      </c>
      <c r="C135" s="1" t="s">
        <v>126</v>
      </c>
      <c r="D135" s="1" t="s">
        <v>119</v>
      </c>
      <c r="E135" s="1" t="s">
        <v>50</v>
      </c>
    </row>
    <row r="136" spans="1:5" x14ac:dyDescent="0.3">
      <c r="A136" s="2">
        <v>45893</v>
      </c>
      <c r="B136" s="18">
        <v>22000</v>
      </c>
      <c r="C136" s="1" t="s">
        <v>52</v>
      </c>
      <c r="D136" s="1" t="s">
        <v>119</v>
      </c>
      <c r="E136" s="1" t="s">
        <v>50</v>
      </c>
    </row>
    <row r="137" spans="1:5" x14ac:dyDescent="0.3">
      <c r="A137" s="2">
        <v>45893</v>
      </c>
      <c r="B137" s="18">
        <v>26000</v>
      </c>
      <c r="C137" s="1" t="s">
        <v>127</v>
      </c>
      <c r="D137" s="1" t="s">
        <v>119</v>
      </c>
      <c r="E137" s="1" t="s">
        <v>50</v>
      </c>
    </row>
    <row r="138" spans="1:5" x14ac:dyDescent="0.3">
      <c r="A138" s="2">
        <v>45893</v>
      </c>
      <c r="B138" s="18">
        <v>60000</v>
      </c>
      <c r="C138" s="1" t="s">
        <v>128</v>
      </c>
      <c r="D138" s="1" t="s">
        <v>119</v>
      </c>
      <c r="E138" s="1" t="s">
        <v>50</v>
      </c>
    </row>
    <row r="139" spans="1:5" x14ac:dyDescent="0.3">
      <c r="A139" s="2">
        <v>45893</v>
      </c>
      <c r="B139" s="18">
        <v>39000</v>
      </c>
      <c r="C139" s="1" t="s">
        <v>129</v>
      </c>
      <c r="D139" s="1" t="s">
        <v>119</v>
      </c>
      <c r="E139" s="1" t="s">
        <v>50</v>
      </c>
    </row>
    <row r="140" spans="1:5" x14ac:dyDescent="0.3">
      <c r="A140" s="2">
        <v>45893</v>
      </c>
      <c r="B140" s="18">
        <v>25191</v>
      </c>
      <c r="C140" s="1" t="s">
        <v>66</v>
      </c>
      <c r="D140" s="1" t="s">
        <v>119</v>
      </c>
      <c r="E140" s="1" t="s">
        <v>50</v>
      </c>
    </row>
    <row r="141" spans="1:5" x14ac:dyDescent="0.3">
      <c r="A141" s="2">
        <v>45896</v>
      </c>
      <c r="B141" s="18">
        <v>176552</v>
      </c>
      <c r="C141" s="1" t="s">
        <v>66</v>
      </c>
      <c r="D141" s="1" t="s">
        <v>119</v>
      </c>
      <c r="E141" s="1" t="s">
        <v>50</v>
      </c>
    </row>
    <row r="142" spans="1:5" x14ac:dyDescent="0.3">
      <c r="A142" s="2">
        <v>45896</v>
      </c>
      <c r="B142" s="18">
        <v>11064</v>
      </c>
      <c r="C142" s="1" t="s">
        <v>66</v>
      </c>
      <c r="D142" s="1" t="s">
        <v>119</v>
      </c>
      <c r="E142" s="1" t="s">
        <v>50</v>
      </c>
    </row>
    <row r="143" spans="1:5" x14ac:dyDescent="0.3">
      <c r="A143" s="2">
        <v>45899</v>
      </c>
      <c r="B143" s="18">
        <v>44325</v>
      </c>
      <c r="C143" s="1" t="s">
        <v>66</v>
      </c>
      <c r="D143" s="1" t="s">
        <v>119</v>
      </c>
      <c r="E143" s="1" t="s">
        <v>50</v>
      </c>
    </row>
    <row r="144" spans="1:5" x14ac:dyDescent="0.3">
      <c r="A144" s="2">
        <v>45900</v>
      </c>
      <c r="B144" s="18">
        <v>367185</v>
      </c>
      <c r="C144" s="1" t="s">
        <v>66</v>
      </c>
      <c r="D144" s="1" t="s">
        <v>119</v>
      </c>
      <c r="E144" s="1" t="s">
        <v>50</v>
      </c>
    </row>
    <row r="145" spans="1:5" x14ac:dyDescent="0.3">
      <c r="A145" s="2">
        <v>45902</v>
      </c>
      <c r="B145" s="18">
        <v>13000</v>
      </c>
      <c r="C145" s="1" t="s">
        <v>66</v>
      </c>
      <c r="D145" s="1" t="s">
        <v>135</v>
      </c>
      <c r="E145" s="1" t="s">
        <v>50</v>
      </c>
    </row>
    <row r="146" spans="1:5" x14ac:dyDescent="0.3">
      <c r="A146" s="2">
        <v>45903</v>
      </c>
      <c r="B146" s="18">
        <v>41076</v>
      </c>
      <c r="C146" s="1" t="s">
        <v>66</v>
      </c>
      <c r="D146" s="1" t="s">
        <v>135</v>
      </c>
      <c r="E146" s="1" t="s">
        <v>50</v>
      </c>
    </row>
    <row r="147" spans="1:5" x14ac:dyDescent="0.3">
      <c r="A147" s="2">
        <v>45903</v>
      </c>
      <c r="B147" s="18">
        <v>12852</v>
      </c>
      <c r="C147" s="1" t="s">
        <v>136</v>
      </c>
      <c r="D147" s="1" t="s">
        <v>135</v>
      </c>
      <c r="E147" s="1" t="s">
        <v>50</v>
      </c>
    </row>
    <row r="148" spans="1:5" x14ac:dyDescent="0.3">
      <c r="A148" s="2">
        <v>45904</v>
      </c>
      <c r="B148" s="18">
        <v>48162</v>
      </c>
      <c r="C148" s="1" t="s">
        <v>66</v>
      </c>
      <c r="D148" s="1" t="s">
        <v>135</v>
      </c>
      <c r="E148" s="1" t="s">
        <v>50</v>
      </c>
    </row>
    <row r="149" spans="1:5" x14ac:dyDescent="0.3">
      <c r="A149" s="2">
        <v>45904</v>
      </c>
      <c r="B149" s="18">
        <v>26000</v>
      </c>
      <c r="C149" s="1" t="s">
        <v>138</v>
      </c>
      <c r="D149" s="1" t="s">
        <v>135</v>
      </c>
      <c r="E149" s="1" t="s">
        <v>50</v>
      </c>
    </row>
    <row r="150" spans="1:5" x14ac:dyDescent="0.3">
      <c r="A150" s="2">
        <v>45906</v>
      </c>
      <c r="B150" s="18">
        <v>290560</v>
      </c>
      <c r="C150" s="1" t="s">
        <v>66</v>
      </c>
      <c r="D150" s="1" t="s">
        <v>135</v>
      </c>
      <c r="E150" s="1" t="s">
        <v>50</v>
      </c>
    </row>
    <row r="151" spans="1:5" x14ac:dyDescent="0.3">
      <c r="A151" s="2">
        <v>45907</v>
      </c>
      <c r="B151" s="18">
        <v>12300</v>
      </c>
      <c r="C151" s="1" t="s">
        <v>66</v>
      </c>
      <c r="D151" s="1" t="s">
        <v>135</v>
      </c>
      <c r="E151" s="1" t="s">
        <v>50</v>
      </c>
    </row>
    <row r="152" spans="1:5" x14ac:dyDescent="0.3">
      <c r="A152" s="2">
        <v>45907</v>
      </c>
      <c r="B152" s="18">
        <v>15000</v>
      </c>
      <c r="C152" s="1" t="s">
        <v>66</v>
      </c>
      <c r="D152" s="1" t="s">
        <v>135</v>
      </c>
      <c r="E152" s="1" t="s">
        <v>50</v>
      </c>
    </row>
    <row r="153" spans="1:5" x14ac:dyDescent="0.3">
      <c r="A153" s="2">
        <v>45911</v>
      </c>
      <c r="B153" s="18">
        <v>48500</v>
      </c>
      <c r="C153" s="1" t="s">
        <v>66</v>
      </c>
      <c r="D153" s="1" t="s">
        <v>135</v>
      </c>
      <c r="E153" s="1" t="s">
        <v>50</v>
      </c>
    </row>
    <row r="154" spans="1:5" x14ac:dyDescent="0.3">
      <c r="A154" s="2">
        <v>45914</v>
      </c>
      <c r="B154" s="18">
        <v>163825</v>
      </c>
      <c r="C154" s="1" t="s">
        <v>66</v>
      </c>
      <c r="D154" s="1" t="s">
        <v>135</v>
      </c>
      <c r="E154" s="1" t="s">
        <v>50</v>
      </c>
    </row>
    <row r="155" spans="1:5" x14ac:dyDescent="0.3">
      <c r="A155" s="2">
        <v>45914</v>
      </c>
      <c r="B155" s="18">
        <v>67520</v>
      </c>
      <c r="C155" s="1" t="s">
        <v>66</v>
      </c>
      <c r="D155" s="1" t="s">
        <v>135</v>
      </c>
      <c r="E155" s="1" t="s">
        <v>50</v>
      </c>
    </row>
    <row r="156" spans="1:5" x14ac:dyDescent="0.3">
      <c r="A156" s="2">
        <v>45916</v>
      </c>
      <c r="B156" s="18">
        <v>22062</v>
      </c>
      <c r="C156" s="1" t="s">
        <v>66</v>
      </c>
      <c r="D156" s="1" t="s">
        <v>135</v>
      </c>
      <c r="E156" s="1" t="s">
        <v>50</v>
      </c>
    </row>
    <row r="157" spans="1:5" x14ac:dyDescent="0.3">
      <c r="A157" s="2">
        <v>45916</v>
      </c>
      <c r="B157" s="18">
        <v>87218</v>
      </c>
      <c r="C157" s="1" t="s">
        <v>66</v>
      </c>
      <c r="D157" s="1" t="s">
        <v>135</v>
      </c>
      <c r="E157" s="1" t="s">
        <v>50</v>
      </c>
    </row>
    <row r="158" spans="1:5" x14ac:dyDescent="0.3">
      <c r="A158" s="2">
        <v>45917</v>
      </c>
      <c r="B158" s="18">
        <v>44398</v>
      </c>
      <c r="C158" s="1" t="s">
        <v>66</v>
      </c>
      <c r="D158" s="1" t="s">
        <v>135</v>
      </c>
      <c r="E158" s="1" t="s">
        <v>50</v>
      </c>
    </row>
    <row r="159" spans="1:5" x14ac:dyDescent="0.3">
      <c r="A159" s="2">
        <v>45919</v>
      </c>
      <c r="B159" s="18">
        <v>36000</v>
      </c>
      <c r="C159" s="1" t="s">
        <v>147</v>
      </c>
      <c r="D159" s="1" t="s">
        <v>146</v>
      </c>
      <c r="E159" s="1" t="s">
        <v>54</v>
      </c>
    </row>
    <row r="160" spans="1:5" x14ac:dyDescent="0.3">
      <c r="A160" s="2">
        <v>45829</v>
      </c>
      <c r="B160" s="18">
        <v>26000</v>
      </c>
      <c r="C160" s="1" t="s">
        <v>148</v>
      </c>
      <c r="D160" s="1" t="s">
        <v>146</v>
      </c>
      <c r="E160" s="1" t="s">
        <v>54</v>
      </c>
    </row>
    <row r="161" spans="1:5" x14ac:dyDescent="0.3">
      <c r="A161" s="2">
        <v>45921</v>
      </c>
      <c r="B161" s="18">
        <v>11200</v>
      </c>
      <c r="C161" s="1" t="s">
        <v>149</v>
      </c>
      <c r="D161" s="1" t="s">
        <v>146</v>
      </c>
      <c r="E161" s="1" t="s">
        <v>54</v>
      </c>
    </row>
    <row r="162" spans="1:5" x14ac:dyDescent="0.3">
      <c r="A162" s="2">
        <v>45921</v>
      </c>
      <c r="B162" s="18">
        <v>15552</v>
      </c>
      <c r="C162" s="1" t="s">
        <v>150</v>
      </c>
      <c r="D162" s="1" t="s">
        <v>146</v>
      </c>
      <c r="E162" s="1" t="s">
        <v>54</v>
      </c>
    </row>
    <row r="163" spans="1:5" x14ac:dyDescent="0.3">
      <c r="A163" s="2">
        <v>45922</v>
      </c>
      <c r="B163" s="18">
        <v>302844</v>
      </c>
      <c r="C163" s="1" t="s">
        <v>66</v>
      </c>
      <c r="D163" s="1" t="s">
        <v>135</v>
      </c>
      <c r="E163" s="1" t="s">
        <v>50</v>
      </c>
    </row>
    <row r="164" spans="1:5" x14ac:dyDescent="0.3">
      <c r="A164" s="2">
        <v>45922</v>
      </c>
      <c r="B164" s="18">
        <v>6950</v>
      </c>
      <c r="C164" s="1" t="s">
        <v>66</v>
      </c>
      <c r="D164" s="1" t="s">
        <v>135</v>
      </c>
      <c r="E164" s="1" t="s">
        <v>50</v>
      </c>
    </row>
    <row r="165" spans="1:5" x14ac:dyDescent="0.3">
      <c r="A165" s="2">
        <v>45922</v>
      </c>
      <c r="B165" s="18">
        <v>15500</v>
      </c>
      <c r="C165" s="1" t="s">
        <v>151</v>
      </c>
      <c r="D165" s="1" t="s">
        <v>135</v>
      </c>
      <c r="E165" s="1" t="s">
        <v>50</v>
      </c>
    </row>
    <row r="166" spans="1:5" x14ac:dyDescent="0.3">
      <c r="A166" s="2">
        <v>45922</v>
      </c>
      <c r="B166" s="18">
        <v>65000</v>
      </c>
      <c r="C166" s="1" t="s">
        <v>153</v>
      </c>
      <c r="D166" s="1" t="s">
        <v>135</v>
      </c>
      <c r="E166" s="1" t="s">
        <v>50</v>
      </c>
    </row>
    <row r="167" spans="1:5" x14ac:dyDescent="0.3">
      <c r="A167" s="2">
        <v>45922</v>
      </c>
      <c r="B167" s="18">
        <v>30000</v>
      </c>
      <c r="C167" s="1" t="s">
        <v>152</v>
      </c>
      <c r="D167" s="1" t="s">
        <v>135</v>
      </c>
      <c r="E167" s="1" t="s">
        <v>50</v>
      </c>
    </row>
    <row r="168" spans="1:5" x14ac:dyDescent="0.3">
      <c r="A168" s="2">
        <v>45922</v>
      </c>
      <c r="B168" s="18">
        <v>45000</v>
      </c>
      <c r="C168" s="1" t="s">
        <v>154</v>
      </c>
      <c r="D168" s="1" t="s">
        <v>135</v>
      </c>
      <c r="E168" s="1" t="s">
        <v>50</v>
      </c>
    </row>
    <row r="169" spans="1:5" x14ac:dyDescent="0.3">
      <c r="A169" s="2">
        <v>45926</v>
      </c>
      <c r="B169" s="18">
        <v>305903</v>
      </c>
      <c r="C169" s="1" t="s">
        <v>66</v>
      </c>
      <c r="D169" s="1" t="s">
        <v>135</v>
      </c>
      <c r="E169" s="1" t="s">
        <v>50</v>
      </c>
    </row>
    <row r="170" spans="1:5" x14ac:dyDescent="0.3">
      <c r="A170" s="2">
        <v>45926</v>
      </c>
      <c r="B170" s="18">
        <v>51800</v>
      </c>
      <c r="C170" s="1" t="s">
        <v>155</v>
      </c>
      <c r="D170" s="1" t="s">
        <v>135</v>
      </c>
      <c r="E170" s="1" t="s">
        <v>50</v>
      </c>
    </row>
    <row r="171" spans="1:5" x14ac:dyDescent="0.3">
      <c r="A171" s="2">
        <v>45930</v>
      </c>
      <c r="B171" s="18">
        <v>120000</v>
      </c>
      <c r="C171" s="1" t="s">
        <v>161</v>
      </c>
      <c r="D171" s="1" t="s">
        <v>135</v>
      </c>
      <c r="E171" s="1" t="s">
        <v>50</v>
      </c>
    </row>
    <row r="172" spans="1:5" x14ac:dyDescent="0.3">
      <c r="A172" s="2">
        <v>45930</v>
      </c>
      <c r="B172" s="18">
        <v>49000</v>
      </c>
      <c r="C172" s="1" t="s">
        <v>162</v>
      </c>
      <c r="D172" s="1" t="s">
        <v>135</v>
      </c>
      <c r="E172" s="1" t="s">
        <v>50</v>
      </c>
    </row>
    <row r="173" spans="1:5" x14ac:dyDescent="0.3">
      <c r="A173" s="2">
        <v>45931</v>
      </c>
      <c r="B173" s="18">
        <v>72000</v>
      </c>
      <c r="C173" s="1" t="s">
        <v>163</v>
      </c>
      <c r="D173" s="1" t="s">
        <v>164</v>
      </c>
      <c r="E173" s="1" t="s">
        <v>50</v>
      </c>
    </row>
    <row r="174" spans="1:5" x14ac:dyDescent="0.3">
      <c r="A174" s="2">
        <v>45932</v>
      </c>
      <c r="B174" s="18">
        <v>382000</v>
      </c>
      <c r="C174" s="1" t="s">
        <v>163</v>
      </c>
      <c r="D174" s="1" t="s">
        <v>164</v>
      </c>
      <c r="E174" s="1" t="s">
        <v>50</v>
      </c>
    </row>
    <row r="175" spans="1:5" x14ac:dyDescent="0.3">
      <c r="A175" s="2">
        <v>45933</v>
      </c>
      <c r="B175" s="18">
        <v>135194</v>
      </c>
      <c r="C175" s="1" t="s">
        <v>163</v>
      </c>
      <c r="D175" s="1" t="s">
        <v>164</v>
      </c>
      <c r="E175" s="1" t="s">
        <v>50</v>
      </c>
    </row>
    <row r="176" spans="1:5" x14ac:dyDescent="0.3">
      <c r="A176" s="2">
        <v>45935</v>
      </c>
      <c r="B176" s="18">
        <v>52000</v>
      </c>
      <c r="C176" s="1" t="s">
        <v>165</v>
      </c>
      <c r="D176" s="1" t="s">
        <v>164</v>
      </c>
      <c r="E176" s="1" t="s">
        <v>50</v>
      </c>
    </row>
    <row r="177" spans="1:5" x14ac:dyDescent="0.3">
      <c r="A177" s="2">
        <v>45935</v>
      </c>
      <c r="B177" s="18">
        <v>182200</v>
      </c>
      <c r="C177" s="1" t="s">
        <v>163</v>
      </c>
      <c r="D177" s="1" t="s">
        <v>164</v>
      </c>
      <c r="E177" s="1" t="s">
        <v>50</v>
      </c>
    </row>
    <row r="178" spans="1:5" x14ac:dyDescent="0.3">
      <c r="A178" s="2">
        <v>45936</v>
      </c>
      <c r="B178" s="18">
        <v>163094</v>
      </c>
      <c r="C178" s="1" t="s">
        <v>163</v>
      </c>
      <c r="D178" s="1" t="s">
        <v>164</v>
      </c>
      <c r="E178" s="1" t="s">
        <v>50</v>
      </c>
    </row>
    <row r="179" spans="1:5" x14ac:dyDescent="0.3">
      <c r="A179" s="2">
        <v>45937</v>
      </c>
      <c r="B179" s="18">
        <v>17200</v>
      </c>
      <c r="C179" s="1" t="s">
        <v>166</v>
      </c>
      <c r="D179" s="1" t="s">
        <v>164</v>
      </c>
      <c r="E179" s="1" t="s">
        <v>50</v>
      </c>
    </row>
    <row r="180" spans="1:5" x14ac:dyDescent="0.3">
      <c r="A180" s="2">
        <v>45938</v>
      </c>
      <c r="B180" s="18">
        <v>95257</v>
      </c>
      <c r="C180" s="1" t="s">
        <v>163</v>
      </c>
      <c r="D180" s="1" t="s">
        <v>164</v>
      </c>
      <c r="E180" s="1" t="s">
        <v>50</v>
      </c>
    </row>
    <row r="181" spans="1:5" x14ac:dyDescent="0.3">
      <c r="A181" s="2">
        <v>45938</v>
      </c>
      <c r="B181" s="18">
        <v>12000</v>
      </c>
      <c r="C181" s="1" t="s">
        <v>167</v>
      </c>
      <c r="D181" s="1" t="s">
        <v>164</v>
      </c>
      <c r="E181" s="1" t="s">
        <v>50</v>
      </c>
    </row>
    <row r="182" spans="1:5" x14ac:dyDescent="0.3">
      <c r="A182" s="2">
        <v>45938</v>
      </c>
      <c r="B182" s="18">
        <v>5000</v>
      </c>
      <c r="C182" s="1" t="s">
        <v>180</v>
      </c>
      <c r="D182" s="1" t="s">
        <v>164</v>
      </c>
      <c r="E182" s="1" t="s">
        <v>50</v>
      </c>
    </row>
    <row r="183" spans="1:5" x14ac:dyDescent="0.3">
      <c r="A183" s="2">
        <v>45938</v>
      </c>
      <c r="B183" s="18">
        <v>18950</v>
      </c>
      <c r="C183" s="1" t="s">
        <v>168</v>
      </c>
      <c r="D183" s="1" t="s">
        <v>164</v>
      </c>
      <c r="E183" s="1" t="s">
        <v>50</v>
      </c>
    </row>
    <row r="184" spans="1:5" x14ac:dyDescent="0.3">
      <c r="A184" s="2">
        <v>45939</v>
      </c>
      <c r="B184" s="18">
        <v>62000</v>
      </c>
      <c r="C184" s="1" t="s">
        <v>147</v>
      </c>
      <c r="D184" s="1" t="s">
        <v>164</v>
      </c>
      <c r="E184" s="1" t="s">
        <v>50</v>
      </c>
    </row>
    <row r="185" spans="1:5" x14ac:dyDescent="0.3">
      <c r="A185" s="2">
        <v>45939</v>
      </c>
      <c r="B185" s="18">
        <v>18000</v>
      </c>
      <c r="C185" s="1" t="s">
        <v>169</v>
      </c>
      <c r="D185" s="1" t="s">
        <v>164</v>
      </c>
      <c r="E185" s="1" t="s">
        <v>50</v>
      </c>
    </row>
    <row r="186" spans="1:5" x14ac:dyDescent="0.3">
      <c r="A186" s="2">
        <v>45939</v>
      </c>
      <c r="B186" s="18">
        <v>5000</v>
      </c>
      <c r="C186" s="1" t="s">
        <v>170</v>
      </c>
      <c r="D186" s="1" t="s">
        <v>164</v>
      </c>
      <c r="E186" s="1" t="s">
        <v>50</v>
      </c>
    </row>
    <row r="187" spans="1:5" x14ac:dyDescent="0.3">
      <c r="A187" s="2">
        <v>45939</v>
      </c>
      <c r="B187" s="18">
        <v>6000</v>
      </c>
      <c r="C187" s="1" t="s">
        <v>171</v>
      </c>
      <c r="D187" s="1" t="s">
        <v>164</v>
      </c>
      <c r="E187" s="1" t="s">
        <v>50</v>
      </c>
    </row>
    <row r="188" spans="1:5" x14ac:dyDescent="0.3">
      <c r="A188" s="2">
        <v>45939</v>
      </c>
      <c r="B188" s="18">
        <v>13000</v>
      </c>
      <c r="C188" s="1" t="s">
        <v>172</v>
      </c>
      <c r="D188" s="1" t="s">
        <v>164</v>
      </c>
      <c r="E188" s="1" t="s">
        <v>50</v>
      </c>
    </row>
    <row r="189" spans="1:5" x14ac:dyDescent="0.3">
      <c r="A189" s="2">
        <v>45939</v>
      </c>
      <c r="B189" s="18">
        <v>9800</v>
      </c>
      <c r="C189" s="1" t="s">
        <v>173</v>
      </c>
      <c r="D189" s="1" t="s">
        <v>164</v>
      </c>
      <c r="E189" s="1" t="s">
        <v>50</v>
      </c>
    </row>
    <row r="190" spans="1:5" x14ac:dyDescent="0.3">
      <c r="A190" s="2">
        <v>45939</v>
      </c>
      <c r="B190" s="18">
        <v>57482</v>
      </c>
      <c r="C190" s="1" t="s">
        <v>66</v>
      </c>
      <c r="D190" s="1" t="s">
        <v>164</v>
      </c>
      <c r="E190" s="1" t="s">
        <v>50</v>
      </c>
    </row>
    <row r="191" spans="1:5" x14ac:dyDescent="0.3">
      <c r="A191" s="2">
        <v>45939</v>
      </c>
      <c r="B191" s="18">
        <v>102500</v>
      </c>
      <c r="C191" s="1" t="s">
        <v>176</v>
      </c>
      <c r="D191" s="1" t="s">
        <v>164</v>
      </c>
      <c r="E191" s="1" t="s">
        <v>50</v>
      </c>
    </row>
    <row r="192" spans="1:5" x14ac:dyDescent="0.3">
      <c r="A192" s="2">
        <v>45939</v>
      </c>
      <c r="B192" s="18">
        <v>8000</v>
      </c>
      <c r="C192" s="1" t="s">
        <v>177</v>
      </c>
      <c r="D192" s="1" t="s">
        <v>164</v>
      </c>
      <c r="E192" s="1" t="s">
        <v>50</v>
      </c>
    </row>
    <row r="193" spans="1:5" x14ac:dyDescent="0.3">
      <c r="A193" s="2">
        <v>45939</v>
      </c>
      <c r="B193" s="18">
        <v>1000</v>
      </c>
      <c r="C193" s="1" t="s">
        <v>179</v>
      </c>
      <c r="D193" s="1" t="s">
        <v>164</v>
      </c>
      <c r="E193" s="1" t="s">
        <v>50</v>
      </c>
    </row>
    <row r="194" spans="1:5" x14ac:dyDescent="0.3">
      <c r="A194" s="2">
        <v>45939</v>
      </c>
      <c r="B194" s="18">
        <v>5500</v>
      </c>
      <c r="C194" s="1" t="s">
        <v>178</v>
      </c>
      <c r="D194" s="1" t="s">
        <v>164</v>
      </c>
      <c r="E194" s="1" t="s">
        <v>50</v>
      </c>
    </row>
    <row r="195" spans="1:5" x14ac:dyDescent="0.3">
      <c r="A195" s="2">
        <v>45939</v>
      </c>
      <c r="B195" s="18">
        <v>131600</v>
      </c>
      <c r="C195" s="1" t="s">
        <v>181</v>
      </c>
      <c r="D195" s="1" t="s">
        <v>164</v>
      </c>
      <c r="E195" s="1" t="s">
        <v>50</v>
      </c>
    </row>
    <row r="196" spans="1:5" x14ac:dyDescent="0.3">
      <c r="A196" s="2">
        <v>45939</v>
      </c>
      <c r="B196" s="18">
        <v>5000</v>
      </c>
      <c r="C196" s="1" t="s">
        <v>177</v>
      </c>
      <c r="D196" s="1" t="s">
        <v>164</v>
      </c>
      <c r="E196" s="1" t="s">
        <v>50</v>
      </c>
    </row>
    <row r="197" spans="1:5" x14ac:dyDescent="0.3">
      <c r="A197" s="2">
        <v>45943</v>
      </c>
      <c r="B197" s="18">
        <v>210595</v>
      </c>
      <c r="C197" s="1" t="s">
        <v>163</v>
      </c>
      <c r="D197" s="1" t="s">
        <v>164</v>
      </c>
      <c r="E197" s="1" t="s">
        <v>50</v>
      </c>
    </row>
    <row r="198" spans="1:5" x14ac:dyDescent="0.3">
      <c r="A198" s="2">
        <v>45944</v>
      </c>
      <c r="B198" s="18">
        <v>8000</v>
      </c>
      <c r="C198" s="1" t="s">
        <v>182</v>
      </c>
      <c r="D198" s="1" t="s">
        <v>164</v>
      </c>
      <c r="E198" s="1" t="s">
        <v>50</v>
      </c>
    </row>
    <row r="199" spans="1:5" x14ac:dyDescent="0.3">
      <c r="A199" s="2">
        <v>45944</v>
      </c>
      <c r="B199" s="18">
        <v>8000</v>
      </c>
      <c r="C199" s="1" t="s">
        <v>185</v>
      </c>
      <c r="D199" s="1" t="s">
        <v>164</v>
      </c>
      <c r="E199" s="1" t="s">
        <v>50</v>
      </c>
    </row>
    <row r="200" spans="1:5" x14ac:dyDescent="0.3">
      <c r="A200" s="2">
        <v>45944</v>
      </c>
      <c r="B200" s="18">
        <v>50950</v>
      </c>
      <c r="C200" s="1" t="s">
        <v>186</v>
      </c>
      <c r="D200" s="1" t="s">
        <v>164</v>
      </c>
      <c r="E200" s="1" t="s">
        <v>50</v>
      </c>
    </row>
    <row r="201" spans="1:5" x14ac:dyDescent="0.3">
      <c r="A201" s="2">
        <v>45947</v>
      </c>
      <c r="B201" s="18">
        <v>7000</v>
      </c>
      <c r="C201" s="1" t="s">
        <v>187</v>
      </c>
      <c r="D201" s="1" t="s">
        <v>164</v>
      </c>
      <c r="E201" s="1" t="s">
        <v>50</v>
      </c>
    </row>
    <row r="202" spans="1:5" x14ac:dyDescent="0.3">
      <c r="A202" s="2">
        <v>45947</v>
      </c>
      <c r="B202" s="18">
        <v>122551</v>
      </c>
      <c r="C202" s="1" t="s">
        <v>52</v>
      </c>
      <c r="D202" s="1" t="s">
        <v>164</v>
      </c>
      <c r="E202" s="1" t="s">
        <v>50</v>
      </c>
    </row>
    <row r="203" spans="1:5" x14ac:dyDescent="0.3">
      <c r="A203" s="2">
        <v>45947</v>
      </c>
      <c r="B203" s="18">
        <v>6150</v>
      </c>
      <c r="C203" s="1" t="s">
        <v>188</v>
      </c>
      <c r="D203" s="1" t="s">
        <v>164</v>
      </c>
      <c r="E203" s="1" t="s">
        <v>50</v>
      </c>
    </row>
    <row r="204" spans="1:5" x14ac:dyDescent="0.3">
      <c r="A204" s="2">
        <v>45950</v>
      </c>
      <c r="B204" s="18">
        <v>115250</v>
      </c>
      <c r="C204" s="1" t="s">
        <v>190</v>
      </c>
      <c r="D204" s="1" t="s">
        <v>164</v>
      </c>
      <c r="E204" s="1" t="s">
        <v>50</v>
      </c>
    </row>
    <row r="205" spans="1:5" x14ac:dyDescent="0.3">
      <c r="A205" s="2">
        <v>45950</v>
      </c>
      <c r="B205" s="18">
        <v>210925</v>
      </c>
      <c r="C205" s="1" t="s">
        <v>163</v>
      </c>
      <c r="D205" s="1" t="s">
        <v>164</v>
      </c>
      <c r="E205" s="1" t="s">
        <v>50</v>
      </c>
    </row>
    <row r="206" spans="1:5" x14ac:dyDescent="0.3">
      <c r="A206" s="2">
        <v>45951</v>
      </c>
      <c r="B206" s="18">
        <v>38000</v>
      </c>
      <c r="C206" s="1" t="s">
        <v>147</v>
      </c>
      <c r="D206" s="1" t="s">
        <v>164</v>
      </c>
      <c r="E206" s="1" t="s">
        <v>50</v>
      </c>
    </row>
    <row r="207" spans="1:5" x14ac:dyDescent="0.3">
      <c r="A207" s="2">
        <v>45951</v>
      </c>
      <c r="B207" s="18">
        <v>7600</v>
      </c>
      <c r="C207" s="1" t="s">
        <v>191</v>
      </c>
      <c r="D207" s="1" t="s">
        <v>164</v>
      </c>
      <c r="E207" s="1" t="s">
        <v>50</v>
      </c>
    </row>
    <row r="208" spans="1:5" x14ac:dyDescent="0.3">
      <c r="A208" s="2">
        <v>45951</v>
      </c>
      <c r="B208" s="18">
        <v>5000</v>
      </c>
      <c r="C208" s="1" t="s">
        <v>192</v>
      </c>
      <c r="D208" s="1" t="s">
        <v>164</v>
      </c>
      <c r="E208" s="1" t="s">
        <v>50</v>
      </c>
    </row>
    <row r="209" spans="1:7" x14ac:dyDescent="0.3">
      <c r="A209" s="2">
        <v>45951</v>
      </c>
      <c r="B209" s="18">
        <v>5000</v>
      </c>
      <c r="C209" s="1" t="s">
        <v>193</v>
      </c>
      <c r="D209" s="1" t="s">
        <v>164</v>
      </c>
      <c r="E209" s="1" t="s">
        <v>50</v>
      </c>
    </row>
    <row r="210" spans="1:7" x14ac:dyDescent="0.3">
      <c r="A210" s="2">
        <v>45951</v>
      </c>
      <c r="B210" s="18">
        <v>7500</v>
      </c>
      <c r="C210" s="1" t="s">
        <v>194</v>
      </c>
      <c r="D210" s="1" t="s">
        <v>164</v>
      </c>
      <c r="E210" s="1" t="s">
        <v>50</v>
      </c>
    </row>
    <row r="211" spans="1:7" x14ac:dyDescent="0.3">
      <c r="A211" s="2">
        <v>45951</v>
      </c>
      <c r="B211" s="18">
        <v>1000</v>
      </c>
      <c r="C211" s="1" t="s">
        <v>195</v>
      </c>
      <c r="D211" s="1" t="s">
        <v>164</v>
      </c>
      <c r="E211" s="1" t="s">
        <v>50</v>
      </c>
    </row>
    <row r="212" spans="1:7" x14ac:dyDescent="0.3">
      <c r="A212" s="2">
        <v>45952</v>
      </c>
      <c r="B212" s="18">
        <v>159700</v>
      </c>
      <c r="C212" s="1" t="s">
        <v>197</v>
      </c>
      <c r="D212" s="1" t="s">
        <v>164</v>
      </c>
      <c r="E212" s="1" t="s">
        <v>50</v>
      </c>
    </row>
    <row r="213" spans="1:7" x14ac:dyDescent="0.3">
      <c r="A213" s="2">
        <v>45953</v>
      </c>
      <c r="B213" s="18">
        <v>82210</v>
      </c>
      <c r="C213" s="1" t="s">
        <v>52</v>
      </c>
      <c r="D213" s="1" t="s">
        <v>164</v>
      </c>
      <c r="E213" s="1" t="s">
        <v>50</v>
      </c>
    </row>
    <row r="214" spans="1:7" x14ac:dyDescent="0.3">
      <c r="A214" s="2">
        <v>45954</v>
      </c>
      <c r="B214" s="18">
        <v>98800</v>
      </c>
      <c r="C214" s="1" t="s">
        <v>198</v>
      </c>
      <c r="D214" s="1" t="s">
        <v>164</v>
      </c>
      <c r="E214" s="1" t="s">
        <v>50</v>
      </c>
    </row>
    <row r="215" spans="1:7" x14ac:dyDescent="0.3">
      <c r="A215" s="2">
        <v>45956</v>
      </c>
      <c r="B215" s="18">
        <v>6959</v>
      </c>
      <c r="C215" s="1" t="s">
        <v>52</v>
      </c>
      <c r="D215" s="1" t="s">
        <v>164</v>
      </c>
      <c r="E215" s="1" t="s">
        <v>50</v>
      </c>
    </row>
    <row r="216" spans="1:7" x14ac:dyDescent="0.3">
      <c r="A216" s="2">
        <v>45958</v>
      </c>
      <c r="B216" s="18">
        <v>285620</v>
      </c>
      <c r="C216" s="1" t="s">
        <v>52</v>
      </c>
      <c r="D216" s="1" t="s">
        <v>164</v>
      </c>
      <c r="E216" s="1" t="s">
        <v>50</v>
      </c>
    </row>
    <row r="217" spans="1:7" x14ac:dyDescent="0.3">
      <c r="A217" s="2">
        <v>45958</v>
      </c>
      <c r="B217" s="18">
        <v>75450</v>
      </c>
      <c r="C217" s="1" t="s">
        <v>200</v>
      </c>
      <c r="D217" s="1" t="s">
        <v>164</v>
      </c>
      <c r="E217" s="1" t="s">
        <v>50</v>
      </c>
    </row>
    <row r="218" spans="1:7" x14ac:dyDescent="0.3">
      <c r="A218" s="2">
        <v>45959</v>
      </c>
      <c r="B218" s="18">
        <v>36000</v>
      </c>
      <c r="C218" s="1" t="s">
        <v>201</v>
      </c>
      <c r="D218" s="1" t="s">
        <v>164</v>
      </c>
      <c r="E218" s="1" t="s">
        <v>50</v>
      </c>
    </row>
    <row r="219" spans="1:7" x14ac:dyDescent="0.3">
      <c r="A219" s="2">
        <v>45961</v>
      </c>
      <c r="B219" s="18">
        <v>94150</v>
      </c>
      <c r="C219" s="1" t="s">
        <v>65</v>
      </c>
      <c r="D219" s="1" t="s">
        <v>164</v>
      </c>
      <c r="E219" s="1" t="s">
        <v>50</v>
      </c>
    </row>
    <row r="220" spans="1:7" x14ac:dyDescent="0.3">
      <c r="A220" s="2">
        <v>45962</v>
      </c>
      <c r="B220" s="18">
        <v>138517</v>
      </c>
      <c r="C220" s="1" t="s">
        <v>52</v>
      </c>
      <c r="D220" s="1" t="s">
        <v>202</v>
      </c>
      <c r="E220" s="1" t="s">
        <v>50</v>
      </c>
    </row>
    <row r="221" spans="1:7" x14ac:dyDescent="0.3">
      <c r="A221" s="2">
        <v>45962</v>
      </c>
      <c r="B221" s="18">
        <v>30000</v>
      </c>
      <c r="C221" s="1" t="s">
        <v>203</v>
      </c>
      <c r="D221" s="1" t="s">
        <v>202</v>
      </c>
      <c r="E221" s="1" t="s">
        <v>50</v>
      </c>
    </row>
    <row r="222" spans="1:7" x14ac:dyDescent="0.3">
      <c r="A222" s="2">
        <v>45962</v>
      </c>
      <c r="B222" s="18">
        <v>49000</v>
      </c>
      <c r="C222" s="1" t="s">
        <v>204</v>
      </c>
      <c r="D222" s="1" t="s">
        <v>202</v>
      </c>
      <c r="E222" s="1" t="s">
        <v>50</v>
      </c>
    </row>
    <row r="223" spans="1:7" x14ac:dyDescent="0.3">
      <c r="A223" s="2">
        <v>45962</v>
      </c>
      <c r="B223" s="18">
        <v>26000</v>
      </c>
      <c r="C223" s="1" t="s">
        <v>138</v>
      </c>
      <c r="D223" s="1" t="s">
        <v>202</v>
      </c>
      <c r="E223" s="1" t="s">
        <v>50</v>
      </c>
      <c r="G223" s="43"/>
    </row>
    <row r="224" spans="1:7" x14ac:dyDescent="0.3">
      <c r="A224" s="2">
        <v>45962</v>
      </c>
      <c r="B224" s="18">
        <v>13000</v>
      </c>
      <c r="C224" s="1" t="s">
        <v>209</v>
      </c>
      <c r="D224" s="1" t="s">
        <v>202</v>
      </c>
      <c r="E224" s="1" t="s">
        <v>50</v>
      </c>
      <c r="G224" s="43"/>
    </row>
    <row r="225" spans="1:5" x14ac:dyDescent="0.3">
      <c r="A225" s="2">
        <v>45962</v>
      </c>
      <c r="B225" s="18">
        <v>16000</v>
      </c>
      <c r="C225" s="1" t="s">
        <v>205</v>
      </c>
      <c r="D225" s="1" t="s">
        <v>202</v>
      </c>
      <c r="E225" s="1" t="s">
        <v>50</v>
      </c>
    </row>
    <row r="226" spans="1:5" x14ac:dyDescent="0.3">
      <c r="A226" s="2">
        <v>45962</v>
      </c>
      <c r="B226" s="18">
        <v>116527</v>
      </c>
      <c r="C226" s="1" t="s">
        <v>66</v>
      </c>
      <c r="D226" s="1" t="s">
        <v>202</v>
      </c>
      <c r="E226" s="1" t="s">
        <v>50</v>
      </c>
    </row>
    <row r="227" spans="1:5" x14ac:dyDescent="0.3">
      <c r="A227" s="2">
        <v>45962</v>
      </c>
      <c r="B227" s="18">
        <v>4800</v>
      </c>
      <c r="C227" s="1" t="s">
        <v>206</v>
      </c>
      <c r="D227" s="1" t="s">
        <v>202</v>
      </c>
      <c r="E227" s="1" t="s">
        <v>50</v>
      </c>
    </row>
    <row r="228" spans="1:5" x14ac:dyDescent="0.3">
      <c r="A228" s="2">
        <v>45962</v>
      </c>
      <c r="B228" s="18">
        <v>27000</v>
      </c>
      <c r="C228" s="1" t="s">
        <v>207</v>
      </c>
      <c r="D228" s="1" t="s">
        <v>202</v>
      </c>
      <c r="E228" s="1" t="s">
        <v>50</v>
      </c>
    </row>
    <row r="229" spans="1:5" x14ac:dyDescent="0.3">
      <c r="A229" s="2">
        <v>45963</v>
      </c>
      <c r="B229" s="18">
        <v>34700</v>
      </c>
      <c r="C229" s="1" t="s">
        <v>208</v>
      </c>
      <c r="D229" s="1" t="s">
        <v>202</v>
      </c>
      <c r="E229" s="1" t="s">
        <v>50</v>
      </c>
    </row>
    <row r="230" spans="1:5" x14ac:dyDescent="0.3">
      <c r="A230" s="2">
        <v>45965</v>
      </c>
      <c r="B230" s="18">
        <v>7000</v>
      </c>
      <c r="C230" s="1" t="s">
        <v>210</v>
      </c>
      <c r="D230" s="1" t="s">
        <v>202</v>
      </c>
      <c r="E230" s="1" t="s">
        <v>50</v>
      </c>
    </row>
    <row r="231" spans="1:5" x14ac:dyDescent="0.3">
      <c r="A231" s="2">
        <v>45965</v>
      </c>
      <c r="B231" s="18">
        <v>46000</v>
      </c>
      <c r="C231" s="1" t="s">
        <v>190</v>
      </c>
      <c r="D231" s="1" t="s">
        <v>202</v>
      </c>
      <c r="E231" s="1" t="s">
        <v>50</v>
      </c>
    </row>
    <row r="232" spans="1:5" x14ac:dyDescent="0.3">
      <c r="A232" s="2">
        <v>45965</v>
      </c>
      <c r="B232" s="18">
        <v>4000</v>
      </c>
      <c r="C232" s="1" t="s">
        <v>211</v>
      </c>
      <c r="D232" s="1" t="s">
        <v>202</v>
      </c>
      <c r="E232" s="1" t="s">
        <v>50</v>
      </c>
    </row>
    <row r="233" spans="1:5" x14ac:dyDescent="0.3">
      <c r="A233" s="2">
        <v>45969</v>
      </c>
      <c r="B233" s="18">
        <v>29800</v>
      </c>
      <c r="C233" s="1" t="s">
        <v>52</v>
      </c>
      <c r="D233" s="1" t="s">
        <v>202</v>
      </c>
      <c r="E233" s="1" t="s">
        <v>50</v>
      </c>
    </row>
    <row r="234" spans="1:5" x14ac:dyDescent="0.3">
      <c r="A234" s="2">
        <v>45971</v>
      </c>
      <c r="B234" s="18">
        <v>16700</v>
      </c>
      <c r="C234" s="1" t="s">
        <v>212</v>
      </c>
      <c r="D234" s="1" t="s">
        <v>202</v>
      </c>
      <c r="E234" s="1" t="s">
        <v>50</v>
      </c>
    </row>
    <row r="235" spans="1:5" x14ac:dyDescent="0.3">
      <c r="A235" s="2">
        <v>45971</v>
      </c>
      <c r="B235" s="18">
        <v>141562</v>
      </c>
      <c r="C235" s="1" t="s">
        <v>213</v>
      </c>
      <c r="D235" s="1" t="s">
        <v>202</v>
      </c>
      <c r="E235" s="1" t="s">
        <v>50</v>
      </c>
    </row>
    <row r="236" spans="1:5" x14ac:dyDescent="0.3">
      <c r="A236" s="2">
        <v>45971</v>
      </c>
      <c r="B236" s="18">
        <v>70000</v>
      </c>
      <c r="C236" s="1" t="s">
        <v>214</v>
      </c>
      <c r="D236" s="1" t="s">
        <v>202</v>
      </c>
      <c r="E236" s="1" t="s">
        <v>50</v>
      </c>
    </row>
    <row r="237" spans="1:5" x14ac:dyDescent="0.3">
      <c r="A237" s="2">
        <v>45972</v>
      </c>
      <c r="B237" s="18">
        <v>45780</v>
      </c>
      <c r="C237" s="1" t="s">
        <v>65</v>
      </c>
      <c r="D237" s="1" t="s">
        <v>202</v>
      </c>
      <c r="E237" s="1" t="s">
        <v>50</v>
      </c>
    </row>
    <row r="238" spans="1:5" x14ac:dyDescent="0.3">
      <c r="A238" s="2">
        <v>45972</v>
      </c>
      <c r="B238" s="18">
        <v>26000</v>
      </c>
      <c r="C238" s="1" t="s">
        <v>215</v>
      </c>
      <c r="D238" s="1" t="s">
        <v>202</v>
      </c>
      <c r="E238" s="1" t="s">
        <v>50</v>
      </c>
    </row>
    <row r="239" spans="1:5" x14ac:dyDescent="0.3">
      <c r="A239" s="2">
        <v>45974</v>
      </c>
      <c r="B239" s="18">
        <v>18000</v>
      </c>
      <c r="C239" s="1" t="s">
        <v>217</v>
      </c>
      <c r="D239" s="1" t="s">
        <v>202</v>
      </c>
      <c r="E239" s="1" t="s">
        <v>50</v>
      </c>
    </row>
    <row r="240" spans="1:5" x14ac:dyDescent="0.3">
      <c r="A240" s="2">
        <v>45974</v>
      </c>
      <c r="B240" s="18">
        <v>7000</v>
      </c>
      <c r="C240" s="1" t="s">
        <v>218</v>
      </c>
      <c r="D240" s="1" t="s">
        <v>202</v>
      </c>
      <c r="E240" s="1" t="s">
        <v>50</v>
      </c>
    </row>
    <row r="241" spans="1:5" x14ac:dyDescent="0.3">
      <c r="A241" s="2">
        <v>45974</v>
      </c>
      <c r="B241" s="18">
        <v>1000</v>
      </c>
      <c r="C241" s="1" t="s">
        <v>219</v>
      </c>
      <c r="D241" s="1" t="s">
        <v>202</v>
      </c>
      <c r="E241" s="1" t="s">
        <v>50</v>
      </c>
    </row>
    <row r="242" spans="1:5" x14ac:dyDescent="0.3">
      <c r="A242" s="2">
        <v>45974</v>
      </c>
      <c r="B242" s="18">
        <v>1000</v>
      </c>
      <c r="C242" s="1" t="s">
        <v>220</v>
      </c>
      <c r="D242" s="1" t="s">
        <v>202</v>
      </c>
      <c r="E242" s="1" t="s">
        <v>50</v>
      </c>
    </row>
    <row r="243" spans="1:5" x14ac:dyDescent="0.3">
      <c r="A243" s="2">
        <v>45975</v>
      </c>
      <c r="B243" s="18">
        <v>78000</v>
      </c>
      <c r="C243" s="1" t="s">
        <v>221</v>
      </c>
      <c r="D243" s="1" t="s">
        <v>202</v>
      </c>
      <c r="E243" s="1" t="s">
        <v>50</v>
      </c>
    </row>
    <row r="244" spans="1:5" x14ac:dyDescent="0.3">
      <c r="A244" s="2">
        <v>45975</v>
      </c>
      <c r="B244" s="18">
        <v>16000</v>
      </c>
      <c r="C244" s="1" t="s">
        <v>217</v>
      </c>
      <c r="D244" s="1" t="s">
        <v>202</v>
      </c>
      <c r="E244" s="1" t="s">
        <v>50</v>
      </c>
    </row>
    <row r="245" spans="1:5" x14ac:dyDescent="0.3">
      <c r="A245" s="2">
        <v>45976</v>
      </c>
      <c r="B245" s="18">
        <v>19252</v>
      </c>
      <c r="C245" s="1" t="s">
        <v>52</v>
      </c>
      <c r="D245" s="1" t="s">
        <v>202</v>
      </c>
      <c r="E245" s="1" t="s">
        <v>50</v>
      </c>
    </row>
    <row r="246" spans="1:5" x14ac:dyDescent="0.3">
      <c r="A246" s="2">
        <v>45977</v>
      </c>
      <c r="B246" s="18">
        <v>12341</v>
      </c>
      <c r="C246" s="1" t="s">
        <v>223</v>
      </c>
      <c r="D246" s="1" t="s">
        <v>202</v>
      </c>
      <c r="E246" s="1" t="s">
        <v>50</v>
      </c>
    </row>
    <row r="247" spans="1:5" x14ac:dyDescent="0.3">
      <c r="A247" s="2">
        <v>45977</v>
      </c>
      <c r="B247" s="18">
        <v>80971</v>
      </c>
      <c r="C247" s="1" t="s">
        <v>224</v>
      </c>
      <c r="D247" s="1" t="s">
        <v>202</v>
      </c>
      <c r="E247" s="1" t="s">
        <v>50</v>
      </c>
    </row>
    <row r="248" spans="1:5" x14ac:dyDescent="0.3">
      <c r="A248" s="2">
        <v>45979</v>
      </c>
      <c r="B248" s="18">
        <v>3633</v>
      </c>
      <c r="C248" s="1" t="s">
        <v>223</v>
      </c>
      <c r="D248" s="1" t="s">
        <v>202</v>
      </c>
      <c r="E248" s="1" t="s">
        <v>50</v>
      </c>
    </row>
    <row r="249" spans="1:5" x14ac:dyDescent="0.3">
      <c r="A249" s="2">
        <v>45979</v>
      </c>
      <c r="B249" s="18">
        <v>17250</v>
      </c>
      <c r="C249" s="1" t="s">
        <v>200</v>
      </c>
      <c r="D249" s="1" t="s">
        <v>202</v>
      </c>
      <c r="E249" s="1" t="s">
        <v>50</v>
      </c>
    </row>
    <row r="250" spans="1:5" x14ac:dyDescent="0.3">
      <c r="A250" s="2">
        <v>45983</v>
      </c>
      <c r="B250" s="18">
        <v>11834</v>
      </c>
      <c r="C250" s="1" t="s">
        <v>223</v>
      </c>
      <c r="D250" s="1" t="s">
        <v>202</v>
      </c>
      <c r="E250" s="1" t="s">
        <v>50</v>
      </c>
    </row>
    <row r="251" spans="1:5" x14ac:dyDescent="0.3">
      <c r="A251" s="2">
        <v>45984</v>
      </c>
      <c r="B251" s="18">
        <v>33025</v>
      </c>
      <c r="C251" s="1" t="s">
        <v>66</v>
      </c>
      <c r="D251" s="1" t="s">
        <v>202</v>
      </c>
      <c r="E251" s="1" t="s">
        <v>50</v>
      </c>
    </row>
    <row r="252" spans="1:5" x14ac:dyDescent="0.3">
      <c r="A252" s="2">
        <v>45984</v>
      </c>
      <c r="B252" s="18">
        <v>35800</v>
      </c>
      <c r="C252" s="1" t="s">
        <v>223</v>
      </c>
      <c r="D252" s="1" t="s">
        <v>202</v>
      </c>
      <c r="E252" s="1" t="s">
        <v>50</v>
      </c>
    </row>
    <row r="253" spans="1:5" x14ac:dyDescent="0.3">
      <c r="A253" s="2">
        <v>45984</v>
      </c>
      <c r="B253" s="18">
        <v>209226</v>
      </c>
      <c r="C253" s="1" t="s">
        <v>66</v>
      </c>
      <c r="D253" s="1" t="s">
        <v>202</v>
      </c>
      <c r="E253" s="1" t="s">
        <v>50</v>
      </c>
    </row>
    <row r="254" spans="1:5" x14ac:dyDescent="0.3">
      <c r="A254" s="2">
        <v>45986</v>
      </c>
      <c r="B254" s="18">
        <v>13650</v>
      </c>
      <c r="C254" s="1" t="s">
        <v>66</v>
      </c>
      <c r="D254" s="1" t="s">
        <v>202</v>
      </c>
      <c r="E254" s="1" t="s">
        <v>50</v>
      </c>
    </row>
    <row r="255" spans="1:5" x14ac:dyDescent="0.3">
      <c r="A255" s="2">
        <v>45986</v>
      </c>
      <c r="B255" s="18">
        <v>13200</v>
      </c>
      <c r="C255" s="1" t="s">
        <v>225</v>
      </c>
      <c r="D255" s="1" t="s">
        <v>202</v>
      </c>
      <c r="E255" s="1" t="s">
        <v>50</v>
      </c>
    </row>
    <row r="256" spans="1:5" x14ac:dyDescent="0.3">
      <c r="A256" s="2">
        <v>45987</v>
      </c>
      <c r="B256" s="18">
        <v>13000</v>
      </c>
      <c r="C256" s="1" t="s">
        <v>226</v>
      </c>
      <c r="D256" s="1" t="s">
        <v>202</v>
      </c>
      <c r="E256" s="1" t="s">
        <v>50</v>
      </c>
    </row>
    <row r="257" spans="1:5" x14ac:dyDescent="0.3">
      <c r="A257" s="2">
        <v>45987</v>
      </c>
      <c r="B257" s="18">
        <v>12000</v>
      </c>
      <c r="C257" s="1" t="s">
        <v>167</v>
      </c>
      <c r="D257" s="1" t="s">
        <v>202</v>
      </c>
      <c r="E257" s="1" t="s">
        <v>50</v>
      </c>
    </row>
    <row r="258" spans="1:5" x14ac:dyDescent="0.3">
      <c r="A258" s="2">
        <v>45987</v>
      </c>
      <c r="B258" s="18">
        <v>26600</v>
      </c>
      <c r="C258" s="1" t="s">
        <v>227</v>
      </c>
      <c r="D258" s="1" t="s">
        <v>202</v>
      </c>
      <c r="E258" s="1" t="s">
        <v>50</v>
      </c>
    </row>
    <row r="259" spans="1:5" x14ac:dyDescent="0.3">
      <c r="A259" s="2">
        <v>45988</v>
      </c>
      <c r="B259" s="18">
        <v>18250</v>
      </c>
      <c r="C259" s="1" t="s">
        <v>52</v>
      </c>
      <c r="D259" s="31" t="s">
        <v>202</v>
      </c>
      <c r="E259" s="1" t="s">
        <v>50</v>
      </c>
    </row>
    <row r="260" spans="1:5" x14ac:dyDescent="0.3">
      <c r="A260" s="2">
        <v>45988</v>
      </c>
      <c r="B260" s="18">
        <v>115360</v>
      </c>
      <c r="C260" s="1" t="s">
        <v>228</v>
      </c>
      <c r="D260" s="31" t="s">
        <v>202</v>
      </c>
      <c r="E260" s="1" t="s">
        <v>50</v>
      </c>
    </row>
    <row r="261" spans="1:5" x14ac:dyDescent="0.3">
      <c r="A261" s="2">
        <v>45988</v>
      </c>
      <c r="B261" s="18">
        <v>151200</v>
      </c>
      <c r="C261" s="1" t="s">
        <v>229</v>
      </c>
      <c r="D261" s="31" t="s">
        <v>202</v>
      </c>
      <c r="E261" s="1" t="s">
        <v>50</v>
      </c>
    </row>
    <row r="262" spans="1:5" x14ac:dyDescent="0.3">
      <c r="A262" s="2">
        <v>45988</v>
      </c>
      <c r="B262" s="18">
        <v>110000</v>
      </c>
      <c r="C262" s="1" t="s">
        <v>230</v>
      </c>
      <c r="D262" s="31" t="s">
        <v>202</v>
      </c>
      <c r="E262" s="1" t="s">
        <v>50</v>
      </c>
    </row>
    <row r="263" spans="1:5" x14ac:dyDescent="0.3">
      <c r="A263" s="2">
        <v>45988</v>
      </c>
      <c r="B263" s="18">
        <v>70000</v>
      </c>
      <c r="C263" s="1" t="s">
        <v>232</v>
      </c>
      <c r="D263" s="31" t="s">
        <v>202</v>
      </c>
      <c r="E263" s="1" t="s">
        <v>50</v>
      </c>
    </row>
    <row r="264" spans="1:5" x14ac:dyDescent="0.3">
      <c r="A264" s="2">
        <v>45990</v>
      </c>
      <c r="B264" s="18">
        <v>171658</v>
      </c>
      <c r="C264" s="1" t="s">
        <v>65</v>
      </c>
      <c r="D264" s="31" t="s">
        <v>202</v>
      </c>
      <c r="E264" s="1" t="s">
        <v>50</v>
      </c>
    </row>
    <row r="265" spans="1:5" x14ac:dyDescent="0.3">
      <c r="A265" s="2">
        <v>45990</v>
      </c>
      <c r="B265" s="18">
        <v>143010</v>
      </c>
      <c r="C265" s="1" t="s">
        <v>233</v>
      </c>
      <c r="D265" s="31" t="s">
        <v>202</v>
      </c>
      <c r="E265" s="1" t="s">
        <v>50</v>
      </c>
    </row>
    <row r="266" spans="1:5" x14ac:dyDescent="0.3">
      <c r="A266" s="2">
        <v>45990</v>
      </c>
      <c r="B266" s="18">
        <v>234450</v>
      </c>
      <c r="C266" s="1" t="s">
        <v>234</v>
      </c>
      <c r="D266" s="31" t="s">
        <v>202</v>
      </c>
      <c r="E266" s="1" t="s">
        <v>50</v>
      </c>
    </row>
    <row r="267" spans="1:5" x14ac:dyDescent="0.3">
      <c r="A267" s="2">
        <v>45991</v>
      </c>
      <c r="B267" s="18">
        <v>10320</v>
      </c>
      <c r="C267" s="1" t="s">
        <v>235</v>
      </c>
      <c r="D267" s="31" t="s">
        <v>202</v>
      </c>
      <c r="E267" s="1" t="s">
        <v>236</v>
      </c>
    </row>
    <row r="268" spans="1:5" x14ac:dyDescent="0.3">
      <c r="A268" s="2">
        <v>45993</v>
      </c>
      <c r="B268" s="18">
        <v>26000</v>
      </c>
      <c r="C268" s="1" t="s">
        <v>52</v>
      </c>
      <c r="D268" s="31" t="s">
        <v>246</v>
      </c>
      <c r="E268" s="1" t="s">
        <v>50</v>
      </c>
    </row>
    <row r="269" spans="1:5" x14ac:dyDescent="0.3">
      <c r="A269" s="2">
        <v>45993</v>
      </c>
      <c r="B269" s="18">
        <v>85352</v>
      </c>
      <c r="C269" s="1" t="s">
        <v>52</v>
      </c>
      <c r="D269" s="31" t="s">
        <v>246</v>
      </c>
      <c r="E269" s="1" t="s">
        <v>50</v>
      </c>
    </row>
    <row r="270" spans="1:5" x14ac:dyDescent="0.3">
      <c r="A270" s="2">
        <v>45994</v>
      </c>
      <c r="B270" s="18">
        <v>26790</v>
      </c>
      <c r="C270" s="1" t="s">
        <v>52</v>
      </c>
      <c r="D270" s="31" t="s">
        <v>246</v>
      </c>
      <c r="E270" s="1" t="s">
        <v>50</v>
      </c>
    </row>
    <row r="271" spans="1:5" x14ac:dyDescent="0.3">
      <c r="A271" s="2">
        <v>45999</v>
      </c>
      <c r="B271" s="18">
        <v>12086</v>
      </c>
      <c r="C271" s="1" t="s">
        <v>52</v>
      </c>
      <c r="D271" s="31" t="s">
        <v>246</v>
      </c>
      <c r="E271" s="1" t="s">
        <v>50</v>
      </c>
    </row>
    <row r="272" spans="1:5" x14ac:dyDescent="0.3">
      <c r="A272" s="2">
        <v>46000</v>
      </c>
      <c r="B272" s="18">
        <v>10900</v>
      </c>
      <c r="C272" s="1" t="s">
        <v>52</v>
      </c>
      <c r="D272" s="31" t="s">
        <v>246</v>
      </c>
      <c r="E272" s="1" t="s">
        <v>50</v>
      </c>
    </row>
    <row r="273" spans="1:5" x14ac:dyDescent="0.3">
      <c r="A273" s="2">
        <v>46000</v>
      </c>
      <c r="B273" s="18">
        <v>86635</v>
      </c>
      <c r="C273" s="1" t="s">
        <v>65</v>
      </c>
      <c r="D273" s="31" t="s">
        <v>246</v>
      </c>
      <c r="E273" s="1" t="s">
        <v>50</v>
      </c>
    </row>
    <row r="274" spans="1:5" x14ac:dyDescent="0.3">
      <c r="A274" s="2">
        <v>46000</v>
      </c>
      <c r="B274" s="18">
        <v>25978</v>
      </c>
      <c r="C274" s="1" t="s">
        <v>247</v>
      </c>
      <c r="D274" s="31" t="s">
        <v>246</v>
      </c>
      <c r="E274" s="1" t="s">
        <v>50</v>
      </c>
    </row>
    <row r="275" spans="1:5" x14ac:dyDescent="0.3">
      <c r="A275" s="2">
        <v>46000</v>
      </c>
      <c r="B275" s="18">
        <v>111284</v>
      </c>
      <c r="C275" s="1" t="s">
        <v>248</v>
      </c>
      <c r="D275" s="31" t="s">
        <v>246</v>
      </c>
      <c r="E275" s="1" t="s">
        <v>50</v>
      </c>
    </row>
    <row r="276" spans="1:5" x14ac:dyDescent="0.3">
      <c r="A276" s="2">
        <v>46000</v>
      </c>
      <c r="B276" s="18">
        <v>12436</v>
      </c>
      <c r="C276" s="1" t="s">
        <v>249</v>
      </c>
      <c r="D276" s="31" t="s">
        <v>246</v>
      </c>
      <c r="E276" s="1" t="s">
        <v>50</v>
      </c>
    </row>
    <row r="277" spans="1:5" x14ac:dyDescent="0.3">
      <c r="A277" s="2">
        <v>46001</v>
      </c>
      <c r="B277" s="18">
        <v>18550</v>
      </c>
      <c r="C277" s="1" t="s">
        <v>250</v>
      </c>
      <c r="D277" s="31" t="s">
        <v>246</v>
      </c>
      <c r="E277" s="1" t="s">
        <v>50</v>
      </c>
    </row>
    <row r="278" spans="1:5" x14ac:dyDescent="0.3">
      <c r="A278" s="2">
        <v>46001</v>
      </c>
      <c r="B278" s="18">
        <v>36000</v>
      </c>
      <c r="C278" s="1" t="s">
        <v>201</v>
      </c>
      <c r="D278" s="31" t="s">
        <v>246</v>
      </c>
      <c r="E278" s="1" t="s">
        <v>50</v>
      </c>
    </row>
    <row r="279" spans="1:5" x14ac:dyDescent="0.3">
      <c r="A279" s="2">
        <v>46001</v>
      </c>
      <c r="B279" s="18">
        <v>6200</v>
      </c>
      <c r="C279" s="1" t="s">
        <v>251</v>
      </c>
      <c r="D279" s="31" t="s">
        <v>246</v>
      </c>
      <c r="E279" s="1" t="s">
        <v>50</v>
      </c>
    </row>
    <row r="280" spans="1:5" x14ac:dyDescent="0.3">
      <c r="A280" s="2">
        <v>46002</v>
      </c>
      <c r="B280" s="18">
        <v>77245</v>
      </c>
      <c r="C280" s="1" t="s">
        <v>213</v>
      </c>
      <c r="D280" s="31" t="s">
        <v>246</v>
      </c>
      <c r="E280" s="1" t="s">
        <v>50</v>
      </c>
    </row>
    <row r="281" spans="1:5" x14ac:dyDescent="0.3">
      <c r="A281" s="2">
        <v>46002</v>
      </c>
      <c r="B281" s="18">
        <v>51000</v>
      </c>
      <c r="C281" s="1" t="s">
        <v>259</v>
      </c>
      <c r="D281" s="31" t="s">
        <v>246</v>
      </c>
      <c r="E281" s="1" t="s">
        <v>50</v>
      </c>
    </row>
    <row r="282" spans="1:5" x14ac:dyDescent="0.3">
      <c r="A282" s="2">
        <v>46002</v>
      </c>
      <c r="B282" s="18">
        <v>11500</v>
      </c>
      <c r="C282" s="1" t="s">
        <v>260</v>
      </c>
      <c r="D282" s="31" t="s">
        <v>246</v>
      </c>
      <c r="E282" s="1" t="s">
        <v>50</v>
      </c>
    </row>
    <row r="283" spans="1:5" x14ac:dyDescent="0.3">
      <c r="A283" s="2">
        <v>46002</v>
      </c>
      <c r="B283" s="18">
        <v>14000</v>
      </c>
      <c r="C283" s="1" t="s">
        <v>261</v>
      </c>
      <c r="D283" s="31" t="s">
        <v>246</v>
      </c>
      <c r="E283" s="1" t="s">
        <v>50</v>
      </c>
    </row>
    <row r="284" spans="1:5" x14ac:dyDescent="0.3">
      <c r="A284" s="2">
        <v>46002</v>
      </c>
      <c r="B284" s="18">
        <v>15000</v>
      </c>
      <c r="C284" s="1" t="s">
        <v>262</v>
      </c>
      <c r="D284" s="31" t="s">
        <v>246</v>
      </c>
      <c r="E284" s="1" t="s">
        <v>50</v>
      </c>
    </row>
    <row r="285" spans="1:5" x14ac:dyDescent="0.3">
      <c r="A285" s="2">
        <v>46002</v>
      </c>
      <c r="B285" s="18">
        <v>6000</v>
      </c>
      <c r="C285" s="1" t="s">
        <v>263</v>
      </c>
      <c r="D285" s="31" t="s">
        <v>246</v>
      </c>
      <c r="E285" s="1" t="s">
        <v>50</v>
      </c>
    </row>
    <row r="286" spans="1:5" x14ac:dyDescent="0.3">
      <c r="A286" s="2">
        <v>46002</v>
      </c>
      <c r="B286" s="18">
        <v>19000</v>
      </c>
      <c r="C286" s="1" t="s">
        <v>264</v>
      </c>
      <c r="D286" s="31" t="s">
        <v>246</v>
      </c>
      <c r="E286" s="1" t="s">
        <v>50</v>
      </c>
    </row>
    <row r="287" spans="1:5" x14ac:dyDescent="0.3">
      <c r="A287" s="2">
        <v>46004</v>
      </c>
      <c r="B287" s="18">
        <v>30856</v>
      </c>
      <c r="C287" s="1" t="s">
        <v>267</v>
      </c>
      <c r="D287" s="31" t="s">
        <v>246</v>
      </c>
      <c r="E287" s="1" t="s">
        <v>50</v>
      </c>
    </row>
    <row r="288" spans="1:5" x14ac:dyDescent="0.3">
      <c r="A288" s="2">
        <v>46004</v>
      </c>
      <c r="B288" s="18">
        <v>15100</v>
      </c>
      <c r="C288" s="1" t="s">
        <v>268</v>
      </c>
      <c r="D288" s="31" t="s">
        <v>246</v>
      </c>
      <c r="E288" s="1" t="s">
        <v>50</v>
      </c>
    </row>
    <row r="289" spans="1:5" x14ac:dyDescent="0.3">
      <c r="A289" s="2">
        <v>46004</v>
      </c>
      <c r="B289" s="18">
        <v>9800</v>
      </c>
      <c r="C289" s="1" t="s">
        <v>269</v>
      </c>
      <c r="D289" s="31" t="s">
        <v>246</v>
      </c>
      <c r="E289" s="1" t="s">
        <v>50</v>
      </c>
    </row>
    <row r="290" spans="1:5" x14ac:dyDescent="0.3">
      <c r="A290" s="2">
        <v>46004</v>
      </c>
      <c r="B290" s="18">
        <v>3000</v>
      </c>
      <c r="C290" s="1" t="s">
        <v>223</v>
      </c>
      <c r="D290" s="31" t="s">
        <v>246</v>
      </c>
      <c r="E290" s="1" t="s">
        <v>50</v>
      </c>
    </row>
    <row r="291" spans="1:5" x14ac:dyDescent="0.3">
      <c r="A291" s="2">
        <v>46004</v>
      </c>
      <c r="B291" s="18">
        <v>98000</v>
      </c>
      <c r="C291" s="1" t="s">
        <v>270</v>
      </c>
      <c r="D291" s="31" t="s">
        <v>246</v>
      </c>
      <c r="E291" s="1" t="s">
        <v>50</v>
      </c>
    </row>
    <row r="292" spans="1:5" x14ac:dyDescent="0.3">
      <c r="A292" s="2">
        <v>46005</v>
      </c>
      <c r="B292" s="18">
        <v>10500</v>
      </c>
      <c r="C292" s="1" t="s">
        <v>274</v>
      </c>
      <c r="D292" s="31" t="s">
        <v>246</v>
      </c>
      <c r="E292" s="1" t="s">
        <v>50</v>
      </c>
    </row>
    <row r="293" spans="1:5" x14ac:dyDescent="0.3">
      <c r="A293" s="2">
        <v>46006</v>
      </c>
      <c r="B293" s="18">
        <v>110000</v>
      </c>
      <c r="C293" s="1" t="s">
        <v>273</v>
      </c>
      <c r="D293" s="31" t="s">
        <v>246</v>
      </c>
      <c r="E293" s="1" t="s">
        <v>50</v>
      </c>
    </row>
    <row r="294" spans="1:5" x14ac:dyDescent="0.3">
      <c r="A294" s="2">
        <v>46007</v>
      </c>
      <c r="B294" s="18">
        <v>33500</v>
      </c>
      <c r="C294" s="1" t="s">
        <v>277</v>
      </c>
      <c r="D294" s="31" t="s">
        <v>246</v>
      </c>
      <c r="E294" s="1" t="s">
        <v>50</v>
      </c>
    </row>
    <row r="295" spans="1:5" x14ac:dyDescent="0.3">
      <c r="A295" s="2">
        <v>46009</v>
      </c>
      <c r="B295" s="18">
        <v>14608</v>
      </c>
      <c r="C295" s="1" t="s">
        <v>66</v>
      </c>
      <c r="D295" s="31" t="s">
        <v>246</v>
      </c>
      <c r="E295" s="1" t="s">
        <v>50</v>
      </c>
    </row>
    <row r="296" spans="1:5" x14ac:dyDescent="0.3">
      <c r="A296" s="2">
        <v>46010</v>
      </c>
      <c r="B296" s="18">
        <v>8200</v>
      </c>
      <c r="C296" s="1" t="s">
        <v>280</v>
      </c>
      <c r="D296" s="31" t="s">
        <v>246</v>
      </c>
      <c r="E296" s="1" t="s">
        <v>50</v>
      </c>
    </row>
    <row r="297" spans="1:5" x14ac:dyDescent="0.3">
      <c r="A297" s="2">
        <v>46010</v>
      </c>
      <c r="B297" s="18">
        <v>8000</v>
      </c>
      <c r="C297" s="1" t="s">
        <v>281</v>
      </c>
      <c r="D297" s="31" t="s">
        <v>246</v>
      </c>
      <c r="E297" s="1" t="s">
        <v>50</v>
      </c>
    </row>
    <row r="298" spans="1:5" x14ac:dyDescent="0.3">
      <c r="A298" s="2">
        <v>46012</v>
      </c>
      <c r="B298" s="18">
        <v>2400</v>
      </c>
      <c r="C298" s="1" t="s">
        <v>282</v>
      </c>
      <c r="D298" s="31" t="s">
        <v>246</v>
      </c>
      <c r="E298" s="1" t="s">
        <v>50</v>
      </c>
    </row>
    <row r="299" spans="1:5" x14ac:dyDescent="0.3">
      <c r="A299" s="2">
        <v>46012</v>
      </c>
      <c r="B299" s="18">
        <v>86141</v>
      </c>
      <c r="C299" s="1" t="s">
        <v>52</v>
      </c>
      <c r="D299" s="31" t="s">
        <v>246</v>
      </c>
      <c r="E299" s="1" t="s">
        <v>50</v>
      </c>
    </row>
    <row r="300" spans="1:5" x14ac:dyDescent="0.3">
      <c r="A300" s="2">
        <v>46013</v>
      </c>
      <c r="B300" s="18">
        <v>289623</v>
      </c>
      <c r="C300" s="1" t="s">
        <v>52</v>
      </c>
      <c r="D300" s="31" t="s">
        <v>246</v>
      </c>
      <c r="E300" s="1" t="s">
        <v>50</v>
      </c>
    </row>
    <row r="301" spans="1:5" x14ac:dyDescent="0.3">
      <c r="A301" s="2">
        <v>46014</v>
      </c>
      <c r="B301" s="18">
        <v>13500</v>
      </c>
      <c r="C301" s="1" t="s">
        <v>283</v>
      </c>
      <c r="D301" s="31" t="s">
        <v>246</v>
      </c>
      <c r="E301" s="1" t="s">
        <v>50</v>
      </c>
    </row>
    <row r="302" spans="1:5" x14ac:dyDescent="0.3">
      <c r="A302" s="2">
        <v>46015</v>
      </c>
      <c r="B302" s="18">
        <v>46386</v>
      </c>
      <c r="C302" s="1" t="s">
        <v>284</v>
      </c>
      <c r="D302" s="31" t="s">
        <v>246</v>
      </c>
      <c r="E302" s="1" t="s">
        <v>50</v>
      </c>
    </row>
    <row r="303" spans="1:5" x14ac:dyDescent="0.3">
      <c r="A303" s="2">
        <v>46015</v>
      </c>
      <c r="B303" s="18">
        <v>9050</v>
      </c>
      <c r="C303" s="1" t="s">
        <v>285</v>
      </c>
      <c r="D303" s="31" t="s">
        <v>246</v>
      </c>
      <c r="E303" s="1" t="s">
        <v>50</v>
      </c>
    </row>
    <row r="304" spans="1:5" x14ac:dyDescent="0.3">
      <c r="A304" s="2">
        <v>46015</v>
      </c>
      <c r="B304" s="18">
        <v>12100</v>
      </c>
      <c r="C304" s="1" t="s">
        <v>286</v>
      </c>
      <c r="D304" s="31" t="s">
        <v>246</v>
      </c>
      <c r="E304" s="1" t="s">
        <v>50</v>
      </c>
    </row>
    <row r="305" spans="1:5" x14ac:dyDescent="0.3">
      <c r="A305" s="2">
        <v>46015</v>
      </c>
      <c r="B305" s="18">
        <v>10000</v>
      </c>
      <c r="C305" s="1" t="s">
        <v>66</v>
      </c>
      <c r="D305" s="31" t="s">
        <v>246</v>
      </c>
      <c r="E305" s="1" t="s">
        <v>50</v>
      </c>
    </row>
    <row r="306" spans="1:5" x14ac:dyDescent="0.3">
      <c r="A306" s="2">
        <v>46015</v>
      </c>
      <c r="B306" s="18">
        <v>38000</v>
      </c>
      <c r="C306" s="1" t="s">
        <v>201</v>
      </c>
      <c r="D306" s="31" t="s">
        <v>246</v>
      </c>
      <c r="E306" s="1" t="s">
        <v>50</v>
      </c>
    </row>
    <row r="307" spans="1:5" x14ac:dyDescent="0.3">
      <c r="A307" s="2">
        <v>46017</v>
      </c>
      <c r="B307" s="18">
        <v>20000</v>
      </c>
      <c r="C307" s="1" t="s">
        <v>201</v>
      </c>
      <c r="D307" s="31" t="s">
        <v>246</v>
      </c>
      <c r="E307" s="1" t="s">
        <v>50</v>
      </c>
    </row>
    <row r="308" spans="1:5" x14ac:dyDescent="0.3">
      <c r="A308" s="2">
        <v>46017</v>
      </c>
      <c r="B308" s="18">
        <v>123568</v>
      </c>
      <c r="C308" s="1" t="s">
        <v>287</v>
      </c>
      <c r="D308" s="31" t="s">
        <v>246</v>
      </c>
      <c r="E308" s="1" t="s">
        <v>50</v>
      </c>
    </row>
    <row r="309" spans="1:5" x14ac:dyDescent="0.3">
      <c r="A309" s="2">
        <v>46018</v>
      </c>
      <c r="B309" s="18">
        <v>23120</v>
      </c>
      <c r="C309" s="1" t="s">
        <v>201</v>
      </c>
      <c r="D309" s="31" t="s">
        <v>246</v>
      </c>
      <c r="E309" s="1" t="s">
        <v>50</v>
      </c>
    </row>
    <row r="310" spans="1:5" x14ac:dyDescent="0.3">
      <c r="A310" s="2">
        <v>46020</v>
      </c>
      <c r="B310" s="18">
        <v>46845</v>
      </c>
      <c r="C310" s="1" t="s">
        <v>66</v>
      </c>
      <c r="D310" s="31" t="s">
        <v>246</v>
      </c>
      <c r="E310" s="1" t="s">
        <v>50</v>
      </c>
    </row>
    <row r="311" spans="1:5" x14ac:dyDescent="0.3">
      <c r="A311" s="2">
        <v>46020</v>
      </c>
      <c r="B311" s="18">
        <v>13930</v>
      </c>
      <c r="C311" s="1" t="s">
        <v>66</v>
      </c>
      <c r="D311" s="31" t="s">
        <v>246</v>
      </c>
      <c r="E311" s="1" t="s">
        <v>50</v>
      </c>
    </row>
    <row r="312" spans="1:5" x14ac:dyDescent="0.3">
      <c r="A312" s="2">
        <v>46020</v>
      </c>
      <c r="B312" s="18">
        <v>349610</v>
      </c>
      <c r="C312" s="1" t="s">
        <v>66</v>
      </c>
      <c r="D312" s="31" t="s">
        <v>246</v>
      </c>
      <c r="E312" s="1" t="s">
        <v>50</v>
      </c>
    </row>
    <row r="313" spans="1:5" x14ac:dyDescent="0.3">
      <c r="A313" s="2">
        <v>46020</v>
      </c>
      <c r="B313" s="18">
        <v>48272</v>
      </c>
      <c r="C313" s="1" t="s">
        <v>66</v>
      </c>
      <c r="D313" s="31" t="s">
        <v>246</v>
      </c>
      <c r="E313" s="1" t="s">
        <v>50</v>
      </c>
    </row>
    <row r="314" spans="1:5" x14ac:dyDescent="0.3">
      <c r="A314" s="2">
        <v>46021</v>
      </c>
      <c r="B314" s="18">
        <v>113483</v>
      </c>
      <c r="C314" s="1" t="s">
        <v>66</v>
      </c>
      <c r="D314" s="31" t="s">
        <v>246</v>
      </c>
      <c r="E314" s="1" t="s">
        <v>50</v>
      </c>
    </row>
    <row r="315" spans="1:5" x14ac:dyDescent="0.3">
      <c r="A315" s="2">
        <v>46021</v>
      </c>
      <c r="B315" s="18">
        <v>12400</v>
      </c>
      <c r="C315" s="1" t="s">
        <v>66</v>
      </c>
      <c r="D315" s="31" t="s">
        <v>246</v>
      </c>
      <c r="E315" s="1" t="s">
        <v>50</v>
      </c>
    </row>
    <row r="316" spans="1:5" x14ac:dyDescent="0.3">
      <c r="A316" s="2">
        <v>46022</v>
      </c>
      <c r="B316" s="3">
        <v>4473</v>
      </c>
      <c r="C316" s="1" t="s">
        <v>66</v>
      </c>
      <c r="D316" s="31" t="s">
        <v>246</v>
      </c>
      <c r="E316" s="1" t="s">
        <v>50</v>
      </c>
    </row>
    <row r="317" spans="1:5" x14ac:dyDescent="0.3">
      <c r="A317" s="2">
        <v>46022</v>
      </c>
      <c r="B317" s="3">
        <v>3000</v>
      </c>
      <c r="C317" s="1" t="s">
        <v>66</v>
      </c>
      <c r="D317" s="31" t="s">
        <v>246</v>
      </c>
      <c r="E317" s="1" t="s">
        <v>50</v>
      </c>
    </row>
    <row r="318" spans="1:5" x14ac:dyDescent="0.3">
      <c r="A318" s="2">
        <v>46022</v>
      </c>
      <c r="B318" s="3">
        <v>12000</v>
      </c>
      <c r="C318" s="1" t="s">
        <v>66</v>
      </c>
      <c r="D318" s="31" t="s">
        <v>246</v>
      </c>
      <c r="E318" s="1" t="s">
        <v>50</v>
      </c>
    </row>
  </sheetData>
  <autoFilter ref="D1:D293" xr:uid="{00000000-0009-0000-0000-000000000000}"/>
  <sortState xmlns:xlrd2="http://schemas.microsoft.com/office/spreadsheetml/2017/richdata2" ref="A10:C10">
    <sortCondition ref="B8"/>
  </sortState>
  <phoneticPr fontId="3" type="noConversion"/>
  <conditionalFormatting sqref="J4 J6 J11:J14">
    <cfRule type="cellIs" dxfId="10" priority="5" operator="lessThan">
      <formula>-0.01</formula>
    </cfRule>
  </conditionalFormatting>
  <conditionalFormatting sqref="J4:J14">
    <cfRule type="cellIs" dxfId="9" priority="6" operator="greaterThan">
      <formula>0.01</formula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8559E42F-E531-4678-9AFF-F9ECBA4E9A70}">
            <x14:iconSet iconSet="3Triangles" custom="1">
              <x14:cfvo type="percent">
                <xm:f>0</xm:f>
              </x14:cfvo>
              <x14:cfvo type="num">
                <xm:f>"0.01"</xm:f>
              </x14:cfvo>
              <x14:cfvo type="num">
                <xm:f>"0.01"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J3:J14</xm:sqref>
        </x14:conditionalFormatting>
        <x14:conditionalFormatting xmlns:xm="http://schemas.microsoft.com/office/excel/2006/main">
          <x14:cfRule type="iconSet" priority="2" id="{C46BBD41-3967-4A07-ACF6-9E0BD77833A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containsText" priority="4" operator="containsText" id="{42016305-D583-4453-B629-D9663C5CDC05}">
            <xm:f>NOT(ISERROR(SEARCH($K$4,K4)))</xm:f>
            <xm:f>$K$4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K4:K14</xm:sqref>
        </x14:conditionalFormatting>
        <x14:conditionalFormatting xmlns:xm="http://schemas.microsoft.com/office/excel/2006/main">
          <x14:cfRule type="containsText" priority="3" operator="containsText" id="{BC1301F0-4C7F-4D97-A8AE-A2C85B3D92E4}">
            <xm:f>NOT(ISERROR(SEARCH($K$10,K5)))</xm:f>
            <xm:f>$K$10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K5 K7:K10</xm:sqref>
        </x14:conditionalFormatting>
        <x14:conditionalFormatting xmlns:xm="http://schemas.microsoft.com/office/excel/2006/main">
          <x14:cfRule type="containsText" priority="1" operator="containsText" id="{AB3016D9-CAB8-40CE-8433-C0E94289E987}">
            <xm:f>NOT(ISERROR(SEARCH($K$10,K12)))</xm:f>
            <xm:f>$K$10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K12:K14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5" tint="-0.249977111117893"/>
  </sheetPr>
  <dimension ref="A1:M245"/>
  <sheetViews>
    <sheetView topLeftCell="A58" workbookViewId="0">
      <selection activeCell="C79" sqref="C79"/>
    </sheetView>
  </sheetViews>
  <sheetFormatPr baseColWidth="10" defaultColWidth="11.44140625" defaultRowHeight="14.4" x14ac:dyDescent="0.3"/>
  <cols>
    <col min="1" max="1" width="11.44140625" customWidth="1"/>
    <col min="2" max="2" width="14.5546875" customWidth="1"/>
    <col min="3" max="3" width="53.6640625" customWidth="1"/>
    <col min="5" max="5" width="23.88671875" customWidth="1"/>
    <col min="6" max="6" width="20.5546875" customWidth="1"/>
    <col min="7" max="7" width="32.33203125" customWidth="1"/>
    <col min="10" max="10" width="30" customWidth="1"/>
    <col min="12" max="12" width="27.109375" customWidth="1"/>
    <col min="13" max="13" width="25.44140625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45</v>
      </c>
    </row>
    <row r="2" spans="1:13" x14ac:dyDescent="0.3">
      <c r="A2" s="2">
        <v>45686</v>
      </c>
      <c r="B2" s="18">
        <v>11000200</v>
      </c>
      <c r="C2" s="1" t="s">
        <v>56</v>
      </c>
      <c r="D2" s="1" t="s">
        <v>49</v>
      </c>
      <c r="E2" s="1" t="s">
        <v>54</v>
      </c>
      <c r="F2" s="1" t="s">
        <v>55</v>
      </c>
      <c r="G2" s="1" t="s">
        <v>57</v>
      </c>
      <c r="J2" s="7" t="s">
        <v>3</v>
      </c>
      <c r="K2" s="7" t="s">
        <v>1</v>
      </c>
      <c r="L2" s="7" t="s">
        <v>183</v>
      </c>
      <c r="M2" s="7" t="s">
        <v>189</v>
      </c>
    </row>
    <row r="3" spans="1:13" x14ac:dyDescent="0.3">
      <c r="A3" s="2">
        <v>45694</v>
      </c>
      <c r="B3" s="13">
        <v>40000</v>
      </c>
      <c r="C3" s="1" t="s">
        <v>61</v>
      </c>
      <c r="D3" s="1" t="s">
        <v>59</v>
      </c>
      <c r="E3" s="1" t="s">
        <v>54</v>
      </c>
      <c r="F3" s="1" t="s">
        <v>55</v>
      </c>
      <c r="G3" s="1" t="s">
        <v>62</v>
      </c>
      <c r="J3" s="5" t="s">
        <v>6</v>
      </c>
      <c r="K3" s="8">
        <f>B2</f>
        <v>11000200</v>
      </c>
      <c r="L3" s="39"/>
      <c r="M3" s="39"/>
    </row>
    <row r="4" spans="1:13" x14ac:dyDescent="0.3">
      <c r="A4" s="2">
        <v>45698</v>
      </c>
      <c r="B4" s="13">
        <v>84000</v>
      </c>
      <c r="C4" s="1" t="s">
        <v>63</v>
      </c>
      <c r="D4" s="1" t="s">
        <v>59</v>
      </c>
      <c r="E4" s="1" t="s">
        <v>54</v>
      </c>
      <c r="F4" s="1" t="s">
        <v>64</v>
      </c>
      <c r="G4" s="1" t="s">
        <v>62</v>
      </c>
      <c r="J4" s="6" t="s">
        <v>7</v>
      </c>
      <c r="K4" s="8">
        <f>SUM(B4:B5)</f>
        <v>134000</v>
      </c>
      <c r="L4" s="42">
        <f>(K4-K3)/K3</f>
        <v>-0.98781840330175819</v>
      </c>
      <c r="M4" s="32" t="str">
        <f>IF(L4&lt;0,"BAJÓ EL GASTO",IF(L4=0,"GASTO ESTABLE","SUBIÓ EL GASTO"))</f>
        <v>BAJÓ EL GASTO</v>
      </c>
    </row>
    <row r="5" spans="1:13" x14ac:dyDescent="0.3">
      <c r="A5" s="2">
        <v>45710</v>
      </c>
      <c r="B5" s="13">
        <v>50000</v>
      </c>
      <c r="C5" s="1" t="s">
        <v>63</v>
      </c>
      <c r="D5" s="1" t="s">
        <v>59</v>
      </c>
      <c r="E5" s="1" t="s">
        <v>54</v>
      </c>
      <c r="F5" s="1" t="s">
        <v>64</v>
      </c>
      <c r="G5" s="1" t="s">
        <v>62</v>
      </c>
      <c r="J5" s="6" t="s">
        <v>8</v>
      </c>
      <c r="K5" s="8">
        <f>SUM(B6:B7)</f>
        <v>220000</v>
      </c>
      <c r="L5" s="42">
        <f t="shared" ref="L5:L14" si="0">(K5-K4)/K4</f>
        <v>0.64179104477611937</v>
      </c>
      <c r="M5" s="32" t="str">
        <f t="shared" ref="M5:M14" si="1">IF(L5&lt;0,"BAJÓ EL GASTO",IF(L5=0,"GASTO ESTABLE","SUBIÓ EL GASTO"))</f>
        <v>SUBIÓ EL GASTO</v>
      </c>
    </row>
    <row r="6" spans="1:13" x14ac:dyDescent="0.3">
      <c r="A6" s="2">
        <v>45725</v>
      </c>
      <c r="B6" s="13">
        <v>120000</v>
      </c>
      <c r="C6" s="1" t="s">
        <v>70</v>
      </c>
      <c r="D6" s="1" t="s">
        <v>69</v>
      </c>
      <c r="E6" s="1" t="s">
        <v>54</v>
      </c>
      <c r="F6" s="1" t="s">
        <v>71</v>
      </c>
      <c r="G6" s="1" t="s">
        <v>62</v>
      </c>
      <c r="J6" s="6" t="s">
        <v>9</v>
      </c>
      <c r="K6" s="14">
        <f>SUM(B8:B11)</f>
        <v>957000</v>
      </c>
      <c r="L6" s="42">
        <f t="shared" si="0"/>
        <v>3.35</v>
      </c>
      <c r="M6" s="32" t="str">
        <f t="shared" si="1"/>
        <v>SUBIÓ EL GASTO</v>
      </c>
    </row>
    <row r="7" spans="1:13" x14ac:dyDescent="0.3">
      <c r="A7" s="2">
        <v>45739</v>
      </c>
      <c r="B7" s="13">
        <v>100000</v>
      </c>
      <c r="C7" s="1" t="s">
        <v>74</v>
      </c>
      <c r="D7" s="1" t="s">
        <v>69</v>
      </c>
      <c r="E7" s="1" t="s">
        <v>54</v>
      </c>
      <c r="F7" s="1" t="s">
        <v>71</v>
      </c>
      <c r="G7" s="1" t="s">
        <v>62</v>
      </c>
      <c r="J7" s="6" t="s">
        <v>10</v>
      </c>
      <c r="K7" s="8">
        <f>SUM(B12:B21)</f>
        <v>500500</v>
      </c>
      <c r="L7" s="42">
        <f t="shared" si="0"/>
        <v>-0.47701149425287354</v>
      </c>
      <c r="M7" s="32" t="str">
        <f t="shared" si="1"/>
        <v>BAJÓ EL GASTO</v>
      </c>
    </row>
    <row r="8" spans="1:13" x14ac:dyDescent="0.3">
      <c r="A8" s="2">
        <v>45750</v>
      </c>
      <c r="B8" s="13">
        <v>107000</v>
      </c>
      <c r="C8" s="1" t="s">
        <v>63</v>
      </c>
      <c r="D8" s="1" t="s">
        <v>76</v>
      </c>
      <c r="E8" s="1" t="s">
        <v>54</v>
      </c>
      <c r="F8" s="1" t="s">
        <v>64</v>
      </c>
      <c r="G8" s="1" t="s">
        <v>62</v>
      </c>
      <c r="J8" s="6" t="s">
        <v>11</v>
      </c>
      <c r="K8" s="8">
        <f>SUM(B22:B27)</f>
        <v>204000</v>
      </c>
      <c r="L8" s="42">
        <f t="shared" si="0"/>
        <v>-0.59240759240759244</v>
      </c>
      <c r="M8" s="32" t="str">
        <f t="shared" si="1"/>
        <v>BAJÓ EL GASTO</v>
      </c>
    </row>
    <row r="9" spans="1:13" x14ac:dyDescent="0.3">
      <c r="A9" s="2">
        <v>45753</v>
      </c>
      <c r="B9" s="18">
        <v>130000</v>
      </c>
      <c r="C9" s="1" t="s">
        <v>77</v>
      </c>
      <c r="D9" s="1" t="s">
        <v>76</v>
      </c>
      <c r="E9" s="1" t="s">
        <v>54</v>
      </c>
      <c r="F9" s="1" t="s">
        <v>78</v>
      </c>
      <c r="G9" s="1" t="s">
        <v>78</v>
      </c>
      <c r="J9" s="6" t="s">
        <v>12</v>
      </c>
      <c r="K9" s="14">
        <f>SUM(B28:B31)</f>
        <v>147000</v>
      </c>
      <c r="L9" s="42">
        <f t="shared" si="0"/>
        <v>-0.27941176470588236</v>
      </c>
      <c r="M9" s="32" t="str">
        <f t="shared" si="1"/>
        <v>BAJÓ EL GASTO</v>
      </c>
    </row>
    <row r="10" spans="1:13" x14ac:dyDescent="0.3">
      <c r="A10" s="2">
        <v>45755</v>
      </c>
      <c r="B10" s="13">
        <v>520000</v>
      </c>
      <c r="C10" s="1" t="s">
        <v>79</v>
      </c>
      <c r="D10" s="1" t="s">
        <v>76</v>
      </c>
      <c r="E10" s="1" t="s">
        <v>54</v>
      </c>
      <c r="F10" s="1" t="s">
        <v>80</v>
      </c>
      <c r="G10" s="1" t="s">
        <v>62</v>
      </c>
      <c r="J10" s="6" t="s">
        <v>13</v>
      </c>
      <c r="K10" s="14">
        <f>SUM(B32:B39)</f>
        <v>565000</v>
      </c>
      <c r="L10" s="42">
        <f t="shared" si="0"/>
        <v>2.8435374149659864</v>
      </c>
      <c r="M10" s="32" t="str">
        <f t="shared" si="1"/>
        <v>SUBIÓ EL GASTO</v>
      </c>
    </row>
    <row r="11" spans="1:13" x14ac:dyDescent="0.3">
      <c r="A11" s="25">
        <v>45757</v>
      </c>
      <c r="B11" s="13">
        <v>200000</v>
      </c>
      <c r="C11" s="1" t="s">
        <v>83</v>
      </c>
      <c r="D11" s="1" t="s">
        <v>76</v>
      </c>
      <c r="E11" s="1" t="s">
        <v>54</v>
      </c>
      <c r="F11" s="1" t="s">
        <v>78</v>
      </c>
      <c r="G11" s="1" t="s">
        <v>78</v>
      </c>
      <c r="J11" s="6" t="s">
        <v>14</v>
      </c>
      <c r="K11" s="14">
        <f>SUM(B40:B50)</f>
        <v>348000</v>
      </c>
      <c r="L11" s="42">
        <f t="shared" si="0"/>
        <v>-0.384070796460177</v>
      </c>
      <c r="M11" s="32" t="str">
        <f t="shared" si="1"/>
        <v>BAJÓ EL GASTO</v>
      </c>
    </row>
    <row r="12" spans="1:13" x14ac:dyDescent="0.3">
      <c r="A12" s="2">
        <v>45780</v>
      </c>
      <c r="B12" s="13">
        <v>150000</v>
      </c>
      <c r="C12" s="1" t="s">
        <v>84</v>
      </c>
      <c r="D12" s="1" t="s">
        <v>76</v>
      </c>
      <c r="E12" s="1" t="s">
        <v>54</v>
      </c>
      <c r="F12" s="1" t="s">
        <v>78</v>
      </c>
      <c r="G12" s="1" t="s">
        <v>78</v>
      </c>
      <c r="J12" s="6" t="s">
        <v>15</v>
      </c>
      <c r="K12" s="14">
        <f>SUM(B54:B57)</f>
        <v>172000</v>
      </c>
      <c r="L12" s="42">
        <f t="shared" si="0"/>
        <v>-0.50574712643678166</v>
      </c>
      <c r="M12" s="32" t="str">
        <f t="shared" si="1"/>
        <v>BAJÓ EL GASTO</v>
      </c>
    </row>
    <row r="13" spans="1:13" x14ac:dyDescent="0.3">
      <c r="A13" s="2">
        <v>45789</v>
      </c>
      <c r="B13" s="13">
        <v>40000</v>
      </c>
      <c r="C13" s="1" t="s">
        <v>85</v>
      </c>
      <c r="D13" s="1" t="s">
        <v>81</v>
      </c>
      <c r="E13" s="1" t="s">
        <v>54</v>
      </c>
      <c r="F13" s="1" t="s">
        <v>78</v>
      </c>
      <c r="G13" s="1" t="s">
        <v>78</v>
      </c>
      <c r="J13" s="6" t="s">
        <v>16</v>
      </c>
      <c r="K13" s="14">
        <f>SUM(B58:B65)</f>
        <v>322000</v>
      </c>
      <c r="L13" s="42">
        <f t="shared" si="0"/>
        <v>0.87209302325581395</v>
      </c>
      <c r="M13" s="32" t="str">
        <f t="shared" si="1"/>
        <v>SUBIÓ EL GASTO</v>
      </c>
    </row>
    <row r="14" spans="1:13" x14ac:dyDescent="0.3">
      <c r="A14" s="2">
        <v>45789</v>
      </c>
      <c r="B14" s="13">
        <v>44000</v>
      </c>
      <c r="C14" s="1" t="s">
        <v>86</v>
      </c>
      <c r="D14" s="1" t="s">
        <v>81</v>
      </c>
      <c r="E14" s="1" t="s">
        <v>54</v>
      </c>
      <c r="F14" s="1" t="s">
        <v>78</v>
      </c>
      <c r="G14" s="1" t="s">
        <v>78</v>
      </c>
      <c r="J14" s="6" t="s">
        <v>17</v>
      </c>
      <c r="K14" s="14">
        <f>SUM(B66:B114)</f>
        <v>838900</v>
      </c>
      <c r="L14" s="42">
        <f t="shared" si="0"/>
        <v>1.60527950310559</v>
      </c>
      <c r="M14" s="32" t="str">
        <f t="shared" si="1"/>
        <v>SUBIÓ EL GASTO</v>
      </c>
    </row>
    <row r="15" spans="1:13" x14ac:dyDescent="0.3">
      <c r="A15" s="2">
        <v>45791</v>
      </c>
      <c r="B15" s="13">
        <v>40000</v>
      </c>
      <c r="C15" s="1" t="s">
        <v>87</v>
      </c>
      <c r="D15" s="1" t="s">
        <v>81</v>
      </c>
      <c r="E15" s="1" t="s">
        <v>54</v>
      </c>
      <c r="F15" s="1" t="s">
        <v>78</v>
      </c>
      <c r="G15" s="1" t="s">
        <v>78</v>
      </c>
    </row>
    <row r="16" spans="1:13" x14ac:dyDescent="0.3">
      <c r="A16" s="2">
        <v>45795</v>
      </c>
      <c r="B16" s="18">
        <v>25000</v>
      </c>
      <c r="C16" s="1" t="s">
        <v>88</v>
      </c>
      <c r="D16" s="1" t="s">
        <v>81</v>
      </c>
      <c r="E16" s="1" t="s">
        <v>54</v>
      </c>
      <c r="F16" s="1" t="s">
        <v>91</v>
      </c>
      <c r="G16" s="1" t="s">
        <v>92</v>
      </c>
    </row>
    <row r="17" spans="1:10" x14ac:dyDescent="0.3">
      <c r="A17" s="2">
        <v>45797</v>
      </c>
      <c r="B17" s="18">
        <v>51500</v>
      </c>
      <c r="C17" s="1" t="s">
        <v>89</v>
      </c>
      <c r="D17" s="1" t="s">
        <v>81</v>
      </c>
      <c r="E17" s="1" t="s">
        <v>54</v>
      </c>
      <c r="F17" s="1" t="s">
        <v>90</v>
      </c>
      <c r="G17" s="1" t="s">
        <v>62</v>
      </c>
      <c r="J17" s="6" t="s">
        <v>46</v>
      </c>
    </row>
    <row r="18" spans="1:10" x14ac:dyDescent="0.3">
      <c r="A18" s="2">
        <v>45801</v>
      </c>
      <c r="B18" s="18">
        <v>50000</v>
      </c>
      <c r="C18" s="1" t="s">
        <v>89</v>
      </c>
      <c r="D18" s="1" t="s">
        <v>81</v>
      </c>
      <c r="E18" s="1" t="s">
        <v>54</v>
      </c>
      <c r="F18" s="1" t="s">
        <v>93</v>
      </c>
      <c r="G18" s="1" t="s">
        <v>62</v>
      </c>
      <c r="J18" s="16">
        <f>SUM(B2:B140)</f>
        <v>15670600</v>
      </c>
    </row>
    <row r="19" spans="1:10" x14ac:dyDescent="0.3">
      <c r="A19" s="2">
        <v>45804</v>
      </c>
      <c r="B19" s="18">
        <v>35000</v>
      </c>
      <c r="C19" s="1" t="s">
        <v>95</v>
      </c>
      <c r="D19" s="1" t="s">
        <v>81</v>
      </c>
      <c r="E19" s="1" t="s">
        <v>54</v>
      </c>
      <c r="F19" s="1" t="s">
        <v>55</v>
      </c>
      <c r="G19" s="1" t="s">
        <v>92</v>
      </c>
    </row>
    <row r="20" spans="1:10" x14ac:dyDescent="0.3">
      <c r="A20" s="25">
        <v>45804</v>
      </c>
      <c r="B20" s="18">
        <v>13000</v>
      </c>
      <c r="C20" s="1" t="s">
        <v>94</v>
      </c>
      <c r="D20" s="1" t="s">
        <v>81</v>
      </c>
      <c r="E20" s="1" t="s">
        <v>54</v>
      </c>
      <c r="F20" s="1" t="s">
        <v>55</v>
      </c>
      <c r="G20" s="1" t="s">
        <v>62</v>
      </c>
    </row>
    <row r="21" spans="1:10" x14ac:dyDescent="0.3">
      <c r="A21" s="2">
        <v>45804</v>
      </c>
      <c r="B21" s="18">
        <v>52000</v>
      </c>
      <c r="C21" s="1" t="s">
        <v>61</v>
      </c>
      <c r="D21" s="1" t="s">
        <v>81</v>
      </c>
      <c r="E21" s="1" t="s">
        <v>54</v>
      </c>
      <c r="F21" s="1" t="s">
        <v>55</v>
      </c>
      <c r="G21" s="1" t="s">
        <v>62</v>
      </c>
      <c r="J21" s="4"/>
    </row>
    <row r="22" spans="1:10" x14ac:dyDescent="0.3">
      <c r="A22" s="2">
        <v>45814</v>
      </c>
      <c r="B22" s="18">
        <v>40000</v>
      </c>
      <c r="C22" s="1" t="s">
        <v>98</v>
      </c>
      <c r="D22" s="1" t="s">
        <v>96</v>
      </c>
      <c r="E22" s="1" t="s">
        <v>54</v>
      </c>
      <c r="F22" s="1" t="s">
        <v>99</v>
      </c>
      <c r="G22" s="1" t="s">
        <v>62</v>
      </c>
    </row>
    <row r="23" spans="1:10" x14ac:dyDescent="0.3">
      <c r="A23" s="2" t="s">
        <v>100</v>
      </c>
      <c r="B23" s="18">
        <v>26000</v>
      </c>
      <c r="C23" s="1" t="s">
        <v>92</v>
      </c>
      <c r="D23" s="1" t="s">
        <v>96</v>
      </c>
      <c r="E23" s="1" t="s">
        <v>54</v>
      </c>
      <c r="F23" s="1" t="s">
        <v>99</v>
      </c>
      <c r="G23" s="1" t="s">
        <v>92</v>
      </c>
    </row>
    <row r="24" spans="1:10" x14ac:dyDescent="0.3">
      <c r="A24" s="2">
        <v>45823</v>
      </c>
      <c r="B24" s="18">
        <v>20000</v>
      </c>
      <c r="C24" s="1" t="s">
        <v>102</v>
      </c>
      <c r="D24" s="1" t="s">
        <v>96</v>
      </c>
      <c r="E24" s="1" t="s">
        <v>54</v>
      </c>
      <c r="F24" s="1" t="s">
        <v>103</v>
      </c>
      <c r="G24" s="1" t="s">
        <v>104</v>
      </c>
    </row>
    <row r="25" spans="1:10" x14ac:dyDescent="0.3">
      <c r="A25" s="2">
        <v>45823</v>
      </c>
      <c r="B25" s="18">
        <v>72000</v>
      </c>
      <c r="C25" s="1" t="s">
        <v>105</v>
      </c>
      <c r="D25" s="1" t="s">
        <v>96</v>
      </c>
      <c r="E25" s="1" t="s">
        <v>106</v>
      </c>
      <c r="F25" s="1" t="s">
        <v>107</v>
      </c>
      <c r="G25" s="29" t="s">
        <v>92</v>
      </c>
    </row>
    <row r="26" spans="1:10" x14ac:dyDescent="0.3">
      <c r="A26" s="2">
        <v>45823</v>
      </c>
      <c r="B26" s="18">
        <v>20000</v>
      </c>
      <c r="C26" s="1" t="s">
        <v>108</v>
      </c>
      <c r="D26" s="1" t="s">
        <v>96</v>
      </c>
      <c r="E26" s="1" t="s">
        <v>50</v>
      </c>
      <c r="F26" s="1"/>
      <c r="G26" s="1" t="s">
        <v>109</v>
      </c>
    </row>
    <row r="27" spans="1:10" x14ac:dyDescent="0.3">
      <c r="A27" s="2">
        <v>45833</v>
      </c>
      <c r="B27" s="18">
        <v>26000</v>
      </c>
      <c r="C27" s="1" t="s">
        <v>92</v>
      </c>
      <c r="D27" s="1" t="s">
        <v>96</v>
      </c>
      <c r="E27" s="1" t="s">
        <v>54</v>
      </c>
      <c r="F27" s="1" t="s">
        <v>99</v>
      </c>
      <c r="G27" s="1" t="s">
        <v>92</v>
      </c>
    </row>
    <row r="28" spans="1:10" x14ac:dyDescent="0.3">
      <c r="A28" s="2">
        <v>45850</v>
      </c>
      <c r="B28" s="18">
        <v>25000</v>
      </c>
      <c r="C28" s="1" t="s">
        <v>115</v>
      </c>
      <c r="D28" s="1" t="s">
        <v>114</v>
      </c>
      <c r="E28" s="1" t="s">
        <v>54</v>
      </c>
      <c r="F28" s="1" t="s">
        <v>99</v>
      </c>
      <c r="G28" s="1" t="s">
        <v>104</v>
      </c>
    </row>
    <row r="29" spans="1:10" x14ac:dyDescent="0.3">
      <c r="A29" s="2">
        <v>45852</v>
      </c>
      <c r="B29" s="18">
        <v>47000</v>
      </c>
      <c r="C29" s="1" t="s">
        <v>116</v>
      </c>
      <c r="D29" s="1" t="s">
        <v>114</v>
      </c>
      <c r="E29" s="1" t="s">
        <v>54</v>
      </c>
      <c r="F29" s="1" t="s">
        <v>55</v>
      </c>
      <c r="G29" s="1" t="s">
        <v>62</v>
      </c>
    </row>
    <row r="30" spans="1:10" x14ac:dyDescent="0.3">
      <c r="A30" s="2">
        <v>45861</v>
      </c>
      <c r="B30" s="18">
        <v>25000</v>
      </c>
      <c r="C30" s="1" t="s">
        <v>117</v>
      </c>
      <c r="D30" s="1" t="s">
        <v>114</v>
      </c>
      <c r="E30" s="1" t="s">
        <v>54</v>
      </c>
      <c r="F30" s="1" t="s">
        <v>55</v>
      </c>
      <c r="G30" s="1" t="s">
        <v>62</v>
      </c>
    </row>
    <row r="31" spans="1:10" x14ac:dyDescent="0.3">
      <c r="A31" s="2">
        <v>45863</v>
      </c>
      <c r="B31" s="18">
        <v>50000</v>
      </c>
      <c r="C31" s="1" t="s">
        <v>118</v>
      </c>
      <c r="D31" s="1" t="s">
        <v>114</v>
      </c>
      <c r="E31" s="1" t="s">
        <v>54</v>
      </c>
      <c r="F31" s="1" t="s">
        <v>55</v>
      </c>
      <c r="G31" s="1" t="s">
        <v>62</v>
      </c>
    </row>
    <row r="32" spans="1:10" x14ac:dyDescent="0.3">
      <c r="A32" s="2">
        <v>45878</v>
      </c>
      <c r="B32" s="18">
        <v>30000</v>
      </c>
      <c r="C32" s="1" t="s">
        <v>120</v>
      </c>
      <c r="D32" s="1" t="s">
        <v>119</v>
      </c>
      <c r="E32" s="1" t="s">
        <v>50</v>
      </c>
      <c r="F32" s="1" t="s">
        <v>115</v>
      </c>
      <c r="G32" s="1" t="s">
        <v>92</v>
      </c>
    </row>
    <row r="33" spans="1:7" x14ac:dyDescent="0.3">
      <c r="A33" s="2">
        <v>45879</v>
      </c>
      <c r="B33" s="18">
        <v>100000</v>
      </c>
      <c r="C33" s="1" t="s">
        <v>120</v>
      </c>
      <c r="D33" s="1" t="s">
        <v>119</v>
      </c>
      <c r="E33" s="1" t="s">
        <v>50</v>
      </c>
      <c r="F33" s="1" t="s">
        <v>121</v>
      </c>
      <c r="G33" s="1" t="s">
        <v>92</v>
      </c>
    </row>
    <row r="34" spans="1:7" x14ac:dyDescent="0.3">
      <c r="A34" s="2">
        <v>45889</v>
      </c>
      <c r="B34" s="18">
        <v>26000</v>
      </c>
      <c r="C34" s="1" t="s">
        <v>120</v>
      </c>
      <c r="D34" s="1" t="s">
        <v>119</v>
      </c>
      <c r="E34" s="1" t="s">
        <v>50</v>
      </c>
      <c r="F34" s="1" t="s">
        <v>124</v>
      </c>
      <c r="G34" s="1" t="s">
        <v>92</v>
      </c>
    </row>
    <row r="35" spans="1:7" x14ac:dyDescent="0.3">
      <c r="A35" s="2">
        <v>45889</v>
      </c>
      <c r="B35" s="18">
        <v>44000</v>
      </c>
      <c r="C35" s="1" t="s">
        <v>63</v>
      </c>
      <c r="D35" s="1" t="s">
        <v>119</v>
      </c>
      <c r="E35" s="1" t="s">
        <v>50</v>
      </c>
      <c r="F35" s="1" t="s">
        <v>124</v>
      </c>
      <c r="G35" s="1" t="s">
        <v>62</v>
      </c>
    </row>
    <row r="36" spans="1:7" x14ac:dyDescent="0.3">
      <c r="A36" s="2">
        <v>45893</v>
      </c>
      <c r="B36" s="18">
        <v>40000</v>
      </c>
      <c r="C36" s="1" t="s">
        <v>130</v>
      </c>
      <c r="D36" s="1" t="s">
        <v>119</v>
      </c>
      <c r="E36" s="1" t="s">
        <v>50</v>
      </c>
      <c r="F36" s="1" t="s">
        <v>124</v>
      </c>
      <c r="G36" s="1" t="s">
        <v>92</v>
      </c>
    </row>
    <row r="37" spans="1:7" x14ac:dyDescent="0.3">
      <c r="A37" s="2">
        <v>45893</v>
      </c>
      <c r="B37" s="18">
        <v>49000</v>
      </c>
      <c r="C37" s="1" t="s">
        <v>131</v>
      </c>
      <c r="D37" s="1" t="s">
        <v>119</v>
      </c>
      <c r="E37" s="1" t="s">
        <v>50</v>
      </c>
      <c r="F37" s="1" t="s">
        <v>124</v>
      </c>
      <c r="G37" s="1" t="s">
        <v>92</v>
      </c>
    </row>
    <row r="38" spans="1:7" x14ac:dyDescent="0.3">
      <c r="A38" s="2">
        <v>45894</v>
      </c>
      <c r="B38" s="18">
        <v>200000</v>
      </c>
      <c r="C38" s="1" t="s">
        <v>132</v>
      </c>
      <c r="D38" s="1" t="s">
        <v>119</v>
      </c>
      <c r="E38" s="1" t="s">
        <v>50</v>
      </c>
      <c r="F38" s="1" t="s">
        <v>124</v>
      </c>
      <c r="G38" s="1" t="s">
        <v>133</v>
      </c>
    </row>
    <row r="39" spans="1:7" x14ac:dyDescent="0.3">
      <c r="A39" s="2">
        <v>45896</v>
      </c>
      <c r="B39" s="18">
        <v>76000</v>
      </c>
      <c r="C39" s="1" t="s">
        <v>134</v>
      </c>
      <c r="D39" s="1" t="s">
        <v>119</v>
      </c>
      <c r="E39" s="1" t="s">
        <v>50</v>
      </c>
      <c r="F39" s="1" t="s">
        <v>93</v>
      </c>
      <c r="G39" s="1" t="s">
        <v>133</v>
      </c>
    </row>
    <row r="40" spans="1:7" x14ac:dyDescent="0.3">
      <c r="A40" s="2">
        <v>45906</v>
      </c>
      <c r="B40" s="18">
        <v>3000</v>
      </c>
      <c r="C40" s="1" t="s">
        <v>139</v>
      </c>
      <c r="D40" s="1" t="s">
        <v>135</v>
      </c>
      <c r="E40" s="1" t="s">
        <v>50</v>
      </c>
      <c r="F40" s="1" t="s">
        <v>55</v>
      </c>
      <c r="G40" s="1" t="s">
        <v>92</v>
      </c>
    </row>
    <row r="41" spans="1:7" x14ac:dyDescent="0.3">
      <c r="A41" s="2">
        <v>45906</v>
      </c>
      <c r="B41" s="26">
        <v>2000</v>
      </c>
      <c r="C41" s="1" t="s">
        <v>140</v>
      </c>
      <c r="D41" s="1" t="s">
        <v>135</v>
      </c>
      <c r="E41" s="1" t="s">
        <v>50</v>
      </c>
      <c r="F41" s="1" t="s">
        <v>55</v>
      </c>
      <c r="G41" s="1" t="s">
        <v>92</v>
      </c>
    </row>
    <row r="42" spans="1:7" x14ac:dyDescent="0.3">
      <c r="A42" s="2">
        <v>45906</v>
      </c>
      <c r="B42" s="18">
        <v>2000</v>
      </c>
      <c r="C42" s="1" t="s">
        <v>141</v>
      </c>
      <c r="D42" s="1" t="s">
        <v>135</v>
      </c>
      <c r="E42" s="1" t="s">
        <v>50</v>
      </c>
      <c r="F42" s="1" t="s">
        <v>55</v>
      </c>
      <c r="G42" s="1" t="s">
        <v>92</v>
      </c>
    </row>
    <row r="43" spans="1:7" x14ac:dyDescent="0.3">
      <c r="A43" s="2">
        <v>45906</v>
      </c>
      <c r="B43" s="18">
        <v>82000</v>
      </c>
      <c r="C43" s="1" t="s">
        <v>142</v>
      </c>
      <c r="D43" s="1" t="s">
        <v>135</v>
      </c>
      <c r="E43" s="1" t="s">
        <v>50</v>
      </c>
      <c r="F43" s="1" t="s">
        <v>55</v>
      </c>
      <c r="G43" s="1" t="s">
        <v>92</v>
      </c>
    </row>
    <row r="44" spans="1:7" x14ac:dyDescent="0.3">
      <c r="A44" s="2">
        <v>45906</v>
      </c>
      <c r="B44" s="18">
        <v>30000</v>
      </c>
      <c r="C44" s="1" t="s">
        <v>102</v>
      </c>
      <c r="D44" s="1" t="s">
        <v>135</v>
      </c>
      <c r="E44" s="1" t="s">
        <v>50</v>
      </c>
      <c r="F44" s="1" t="s">
        <v>55</v>
      </c>
      <c r="G44" s="1" t="s">
        <v>104</v>
      </c>
    </row>
    <row r="45" spans="1:7" x14ac:dyDescent="0.3">
      <c r="A45" s="2">
        <v>45907</v>
      </c>
      <c r="B45" s="18">
        <v>21000</v>
      </c>
      <c r="C45" s="1" t="s">
        <v>143</v>
      </c>
      <c r="D45" s="1" t="s">
        <v>135</v>
      </c>
      <c r="E45" s="1" t="s">
        <v>50</v>
      </c>
      <c r="F45" s="1" t="s">
        <v>55</v>
      </c>
      <c r="G45" s="1" t="s">
        <v>62</v>
      </c>
    </row>
    <row r="46" spans="1:7" x14ac:dyDescent="0.3">
      <c r="A46" s="2">
        <v>45911</v>
      </c>
      <c r="B46" s="18">
        <v>40000</v>
      </c>
      <c r="C46" s="1" t="s">
        <v>144</v>
      </c>
      <c r="D46" s="1" t="s">
        <v>135</v>
      </c>
      <c r="E46" s="1" t="s">
        <v>50</v>
      </c>
      <c r="F46" s="1" t="s">
        <v>55</v>
      </c>
      <c r="G46" s="1" t="s">
        <v>62</v>
      </c>
    </row>
    <row r="47" spans="1:7" x14ac:dyDescent="0.3">
      <c r="A47" s="25">
        <v>45914</v>
      </c>
      <c r="B47" s="18">
        <v>36000</v>
      </c>
      <c r="C47" s="1" t="s">
        <v>60</v>
      </c>
      <c r="D47" s="1" t="s">
        <v>135</v>
      </c>
      <c r="E47" s="1" t="s">
        <v>50</v>
      </c>
      <c r="F47" s="1" t="s">
        <v>55</v>
      </c>
      <c r="G47" s="1" t="s">
        <v>62</v>
      </c>
    </row>
    <row r="48" spans="1:7" x14ac:dyDescent="0.3">
      <c r="A48" s="25">
        <v>45916</v>
      </c>
      <c r="B48" s="18">
        <v>10000</v>
      </c>
      <c r="C48" s="1" t="s">
        <v>145</v>
      </c>
      <c r="D48" s="1" t="s">
        <v>135</v>
      </c>
      <c r="E48" s="1" t="s">
        <v>50</v>
      </c>
      <c r="F48" s="1" t="s">
        <v>55</v>
      </c>
      <c r="G48" s="1" t="s">
        <v>62</v>
      </c>
    </row>
    <row r="49" spans="1:7" x14ac:dyDescent="0.3">
      <c r="A49" s="2">
        <v>45917</v>
      </c>
      <c r="B49" s="18">
        <v>78000</v>
      </c>
      <c r="C49" s="1" t="s">
        <v>144</v>
      </c>
      <c r="D49" s="1" t="s">
        <v>135</v>
      </c>
      <c r="E49" s="1" t="s">
        <v>50</v>
      </c>
      <c r="F49" s="1" t="s">
        <v>55</v>
      </c>
      <c r="G49" s="1" t="s">
        <v>62</v>
      </c>
    </row>
    <row r="50" spans="1:7" x14ac:dyDescent="0.3">
      <c r="A50" s="2">
        <v>45926</v>
      </c>
      <c r="B50" s="18">
        <v>44000</v>
      </c>
      <c r="C50" s="1" t="s">
        <v>156</v>
      </c>
      <c r="D50" s="1" t="s">
        <v>135</v>
      </c>
      <c r="E50" s="1" t="s">
        <v>50</v>
      </c>
      <c r="F50" s="1" t="s">
        <v>55</v>
      </c>
      <c r="G50" s="1" t="s">
        <v>62</v>
      </c>
    </row>
    <row r="51" spans="1:7" x14ac:dyDescent="0.3">
      <c r="A51" s="2">
        <v>45928</v>
      </c>
      <c r="B51" s="18">
        <v>98000</v>
      </c>
      <c r="C51" s="1" t="s">
        <v>157</v>
      </c>
      <c r="D51" s="1" t="s">
        <v>135</v>
      </c>
      <c r="E51" s="1" t="s">
        <v>50</v>
      </c>
      <c r="F51" s="1" t="s">
        <v>55</v>
      </c>
      <c r="G51" s="1" t="s">
        <v>62</v>
      </c>
    </row>
    <row r="52" spans="1:7" x14ac:dyDescent="0.3">
      <c r="A52" s="2">
        <v>45929</v>
      </c>
      <c r="B52" s="18">
        <v>17000</v>
      </c>
      <c r="C52" s="1" t="s">
        <v>158</v>
      </c>
      <c r="D52" s="1" t="s">
        <v>135</v>
      </c>
      <c r="E52" s="1" t="s">
        <v>50</v>
      </c>
      <c r="F52" s="1" t="s">
        <v>55</v>
      </c>
      <c r="G52" s="1" t="s">
        <v>160</v>
      </c>
    </row>
    <row r="53" spans="1:7" x14ac:dyDescent="0.3">
      <c r="A53" s="2">
        <v>45930</v>
      </c>
      <c r="B53" s="18">
        <v>107000</v>
      </c>
      <c r="C53" s="1" t="s">
        <v>159</v>
      </c>
      <c r="D53" s="1" t="s">
        <v>135</v>
      </c>
      <c r="E53" s="1" t="s">
        <v>50</v>
      </c>
      <c r="F53" s="1" t="s">
        <v>55</v>
      </c>
      <c r="G53" s="1" t="s">
        <v>160</v>
      </c>
    </row>
    <row r="54" spans="1:7" x14ac:dyDescent="0.3">
      <c r="A54" s="2">
        <v>45935</v>
      </c>
      <c r="B54" s="18">
        <v>100000</v>
      </c>
      <c r="C54" s="1" t="s">
        <v>174</v>
      </c>
      <c r="D54" s="1" t="s">
        <v>164</v>
      </c>
      <c r="E54" s="1" t="s">
        <v>50</v>
      </c>
      <c r="F54" s="1" t="s">
        <v>55</v>
      </c>
      <c r="G54" s="1" t="s">
        <v>160</v>
      </c>
    </row>
    <row r="55" spans="1:7" x14ac:dyDescent="0.3">
      <c r="A55" s="2">
        <v>45940</v>
      </c>
      <c r="B55" s="18">
        <v>40000</v>
      </c>
      <c r="C55" s="1" t="s">
        <v>175</v>
      </c>
      <c r="D55" s="1" t="s">
        <v>164</v>
      </c>
      <c r="E55" s="1" t="s">
        <v>50</v>
      </c>
      <c r="F55" s="1" t="s">
        <v>55</v>
      </c>
      <c r="G55" s="1" t="s">
        <v>62</v>
      </c>
    </row>
    <row r="56" spans="1:7" x14ac:dyDescent="0.3">
      <c r="A56" s="2">
        <v>45950</v>
      </c>
      <c r="B56" s="18">
        <v>10000</v>
      </c>
      <c r="C56" s="1" t="s">
        <v>196</v>
      </c>
      <c r="D56" s="1" t="s">
        <v>164</v>
      </c>
      <c r="E56" s="1" t="s">
        <v>50</v>
      </c>
      <c r="F56" s="1" t="s">
        <v>55</v>
      </c>
      <c r="G56" s="1" t="s">
        <v>62</v>
      </c>
    </row>
    <row r="57" spans="1:7" x14ac:dyDescent="0.3">
      <c r="A57" s="2">
        <v>45957</v>
      </c>
      <c r="B57" s="18">
        <v>22000</v>
      </c>
      <c r="C57" s="1" t="s">
        <v>199</v>
      </c>
      <c r="D57" s="1" t="s">
        <v>164</v>
      </c>
      <c r="E57" s="1" t="s">
        <v>50</v>
      </c>
      <c r="F57" s="1" t="s">
        <v>55</v>
      </c>
      <c r="G57" s="1" t="s">
        <v>62</v>
      </c>
    </row>
    <row r="58" spans="1:7" x14ac:dyDescent="0.3">
      <c r="A58" s="2">
        <v>45975</v>
      </c>
      <c r="B58" s="18">
        <v>29000</v>
      </c>
      <c r="C58" s="1" t="s">
        <v>216</v>
      </c>
      <c r="D58" s="1" t="s">
        <v>202</v>
      </c>
      <c r="E58" s="1" t="s">
        <v>50</v>
      </c>
      <c r="F58" s="1" t="s">
        <v>55</v>
      </c>
      <c r="G58" s="1" t="s">
        <v>62</v>
      </c>
    </row>
    <row r="59" spans="1:7" x14ac:dyDescent="0.3">
      <c r="A59" s="2">
        <v>45977</v>
      </c>
      <c r="B59" s="18">
        <v>52000</v>
      </c>
      <c r="C59" s="1" t="s">
        <v>222</v>
      </c>
      <c r="D59" s="1" t="s">
        <v>202</v>
      </c>
      <c r="E59" s="1" t="s">
        <v>50</v>
      </c>
      <c r="F59" s="1" t="s">
        <v>55</v>
      </c>
      <c r="G59" s="1" t="s">
        <v>62</v>
      </c>
    </row>
    <row r="60" spans="1:7" x14ac:dyDescent="0.3">
      <c r="A60" s="2">
        <v>45988</v>
      </c>
      <c r="B60" s="18">
        <v>39000</v>
      </c>
      <c r="C60" s="1" t="s">
        <v>231</v>
      </c>
      <c r="D60" s="1" t="s">
        <v>202</v>
      </c>
      <c r="E60" s="1" t="s">
        <v>50</v>
      </c>
      <c r="F60" s="1" t="s">
        <v>55</v>
      </c>
      <c r="G60" s="1" t="s">
        <v>62</v>
      </c>
    </row>
    <row r="61" spans="1:7" x14ac:dyDescent="0.3">
      <c r="A61" s="2">
        <v>45991</v>
      </c>
      <c r="B61" s="18">
        <v>135000</v>
      </c>
      <c r="C61" s="1" t="s">
        <v>237</v>
      </c>
      <c r="D61" s="1" t="s">
        <v>202</v>
      </c>
      <c r="E61" s="1" t="s">
        <v>236</v>
      </c>
      <c r="F61" s="1" t="s">
        <v>240</v>
      </c>
      <c r="G61" s="1" t="s">
        <v>92</v>
      </c>
    </row>
    <row r="62" spans="1:7" x14ac:dyDescent="0.3">
      <c r="A62" s="2">
        <v>45991</v>
      </c>
      <c r="B62" s="18">
        <v>20000</v>
      </c>
      <c r="C62" s="1" t="s">
        <v>238</v>
      </c>
      <c r="D62" s="1" t="s">
        <v>202</v>
      </c>
      <c r="E62" s="1" t="s">
        <v>50</v>
      </c>
      <c r="F62" s="1" t="s">
        <v>55</v>
      </c>
      <c r="G62" s="1" t="s">
        <v>244</v>
      </c>
    </row>
    <row r="63" spans="1:7" x14ac:dyDescent="0.3">
      <c r="A63" s="2">
        <v>45991</v>
      </c>
      <c r="B63" s="18">
        <v>20000</v>
      </c>
      <c r="C63" s="1" t="s">
        <v>241</v>
      </c>
      <c r="D63" s="1" t="s">
        <v>202</v>
      </c>
      <c r="E63" s="1" t="s">
        <v>239</v>
      </c>
      <c r="F63" s="1" t="s">
        <v>240</v>
      </c>
      <c r="G63" s="1" t="s">
        <v>245</v>
      </c>
    </row>
    <row r="64" spans="1:7" x14ac:dyDescent="0.3">
      <c r="A64" s="2">
        <v>45991</v>
      </c>
      <c r="B64" s="18">
        <v>25000</v>
      </c>
      <c r="C64" s="1" t="s">
        <v>242</v>
      </c>
      <c r="D64" s="1" t="s">
        <v>202</v>
      </c>
      <c r="E64" s="1" t="s">
        <v>50</v>
      </c>
      <c r="F64" s="1" t="s">
        <v>55</v>
      </c>
      <c r="G64" s="1" t="s">
        <v>62</v>
      </c>
    </row>
    <row r="65" spans="1:7" x14ac:dyDescent="0.3">
      <c r="A65" s="2">
        <v>45991</v>
      </c>
      <c r="B65" s="18">
        <v>2000</v>
      </c>
      <c r="C65" s="1" t="s">
        <v>243</v>
      </c>
      <c r="D65" s="1" t="s">
        <v>202</v>
      </c>
      <c r="E65" s="1" t="s">
        <v>236</v>
      </c>
      <c r="F65" s="1" t="s">
        <v>240</v>
      </c>
      <c r="G65" s="1" t="s">
        <v>244</v>
      </c>
    </row>
    <row r="66" spans="1:7" x14ac:dyDescent="0.3">
      <c r="A66" s="2">
        <v>46002</v>
      </c>
      <c r="B66" s="18">
        <v>102000</v>
      </c>
      <c r="C66" s="1" t="s">
        <v>253</v>
      </c>
      <c r="D66" s="1" t="s">
        <v>246</v>
      </c>
      <c r="E66" s="1" t="s">
        <v>252</v>
      </c>
      <c r="F66" s="1" t="s">
        <v>254</v>
      </c>
      <c r="G66" s="1" t="s">
        <v>62</v>
      </c>
    </row>
    <row r="67" spans="1:7" x14ac:dyDescent="0.3">
      <c r="A67" s="2">
        <v>46002</v>
      </c>
      <c r="B67" s="18">
        <v>4000</v>
      </c>
      <c r="C67" s="1" t="s">
        <v>256</v>
      </c>
      <c r="D67" s="1" t="s">
        <v>246</v>
      </c>
      <c r="E67" s="1" t="s">
        <v>50</v>
      </c>
      <c r="F67" s="1" t="s">
        <v>254</v>
      </c>
      <c r="G67" s="1" t="s">
        <v>255</v>
      </c>
    </row>
    <row r="68" spans="1:7" x14ac:dyDescent="0.3">
      <c r="A68" s="2">
        <v>46002</v>
      </c>
      <c r="B68" s="18">
        <v>3000</v>
      </c>
      <c r="C68" s="1" t="s">
        <v>257</v>
      </c>
      <c r="D68" s="1" t="s">
        <v>246</v>
      </c>
      <c r="E68" s="1" t="s">
        <v>252</v>
      </c>
      <c r="F68" s="1" t="s">
        <v>254</v>
      </c>
      <c r="G68" s="1" t="s">
        <v>255</v>
      </c>
    </row>
    <row r="69" spans="1:7" x14ac:dyDescent="0.3">
      <c r="A69" s="2">
        <v>46004</v>
      </c>
      <c r="B69" s="18">
        <v>92000</v>
      </c>
      <c r="C69" s="1" t="s">
        <v>265</v>
      </c>
      <c r="D69" s="1" t="s">
        <v>246</v>
      </c>
      <c r="E69" s="1" t="s">
        <v>50</v>
      </c>
      <c r="F69" s="1" t="s">
        <v>254</v>
      </c>
      <c r="G69" s="1" t="s">
        <v>62</v>
      </c>
    </row>
    <row r="70" spans="1:7" x14ac:dyDescent="0.3">
      <c r="A70" s="2">
        <v>46004</v>
      </c>
      <c r="B70" s="18">
        <v>18000</v>
      </c>
      <c r="C70" s="1" t="s">
        <v>207</v>
      </c>
      <c r="D70" s="1" t="s">
        <v>246</v>
      </c>
      <c r="E70" s="1" t="s">
        <v>50</v>
      </c>
      <c r="F70" s="1" t="s">
        <v>254</v>
      </c>
      <c r="G70" s="1" t="s">
        <v>266</v>
      </c>
    </row>
    <row r="71" spans="1:7" x14ac:dyDescent="0.3">
      <c r="A71" s="2">
        <v>46005</v>
      </c>
      <c r="B71" s="18">
        <v>54000</v>
      </c>
      <c r="C71" s="1" t="s">
        <v>272</v>
      </c>
      <c r="D71" s="1" t="s">
        <v>246</v>
      </c>
      <c r="E71" s="1" t="s">
        <v>50</v>
      </c>
      <c r="F71" s="1" t="s">
        <v>254</v>
      </c>
      <c r="G71" s="1" t="s">
        <v>92</v>
      </c>
    </row>
    <row r="72" spans="1:7" x14ac:dyDescent="0.3">
      <c r="A72" s="2">
        <v>46005</v>
      </c>
      <c r="B72" s="18">
        <v>5000</v>
      </c>
      <c r="C72" s="1" t="s">
        <v>271</v>
      </c>
      <c r="D72" s="1" t="s">
        <v>246</v>
      </c>
      <c r="E72" s="1" t="s">
        <v>50</v>
      </c>
      <c r="F72" s="1" t="s">
        <v>254</v>
      </c>
      <c r="G72" s="1" t="s">
        <v>62</v>
      </c>
    </row>
    <row r="73" spans="1:7" x14ac:dyDescent="0.3">
      <c r="A73" s="2">
        <v>46006</v>
      </c>
      <c r="B73" s="18">
        <v>65000</v>
      </c>
      <c r="C73" s="1" t="s">
        <v>275</v>
      </c>
      <c r="D73" s="1" t="s">
        <v>246</v>
      </c>
      <c r="E73" s="1" t="s">
        <v>50</v>
      </c>
      <c r="F73" s="1" t="s">
        <v>254</v>
      </c>
      <c r="G73" s="1" t="s">
        <v>278</v>
      </c>
    </row>
    <row r="74" spans="1:7" x14ac:dyDescent="0.3">
      <c r="A74" s="2">
        <v>46007</v>
      </c>
      <c r="B74" s="18">
        <v>70000</v>
      </c>
      <c r="C74" s="1" t="s">
        <v>276</v>
      </c>
      <c r="D74" s="1" t="s">
        <v>246</v>
      </c>
      <c r="E74" s="1" t="s">
        <v>50</v>
      </c>
      <c r="F74" s="1" t="s">
        <v>254</v>
      </c>
      <c r="G74" s="1" t="s">
        <v>278</v>
      </c>
    </row>
    <row r="75" spans="1:7" x14ac:dyDescent="0.3">
      <c r="A75" s="2">
        <v>46009</v>
      </c>
      <c r="B75" s="18">
        <v>79900</v>
      </c>
      <c r="C75" s="1" t="s">
        <v>279</v>
      </c>
      <c r="D75" s="1" t="s">
        <v>246</v>
      </c>
      <c r="E75" s="1" t="s">
        <v>50</v>
      </c>
      <c r="F75" s="1" t="s">
        <v>254</v>
      </c>
      <c r="G75" s="1" t="s">
        <v>278</v>
      </c>
    </row>
    <row r="76" spans="1:7" x14ac:dyDescent="0.3">
      <c r="A76" s="2">
        <v>46017</v>
      </c>
      <c r="B76" s="18">
        <v>80000</v>
      </c>
      <c r="C76" s="1" t="s">
        <v>279</v>
      </c>
      <c r="D76" s="1" t="s">
        <v>246</v>
      </c>
      <c r="E76" s="1" t="s">
        <v>50</v>
      </c>
      <c r="F76" s="1" t="s">
        <v>254</v>
      </c>
      <c r="G76" s="1" t="s">
        <v>62</v>
      </c>
    </row>
    <row r="77" spans="1:7" x14ac:dyDescent="0.3">
      <c r="A77" s="2">
        <v>46021</v>
      </c>
      <c r="B77" s="3">
        <v>266000</v>
      </c>
      <c r="C77" s="1" t="s">
        <v>288</v>
      </c>
      <c r="D77" s="1" t="s">
        <v>246</v>
      </c>
      <c r="E77" s="1" t="s">
        <v>50</v>
      </c>
      <c r="F77" s="1" t="s">
        <v>254</v>
      </c>
      <c r="G77" s="1" t="s">
        <v>62</v>
      </c>
    </row>
    <row r="78" spans="1:7" x14ac:dyDescent="0.3">
      <c r="D78" s="1"/>
      <c r="E78" s="1"/>
      <c r="F78" s="1"/>
    </row>
    <row r="79" spans="1:7" x14ac:dyDescent="0.3">
      <c r="D79" s="1"/>
      <c r="E79" s="1"/>
      <c r="F79" s="1"/>
    </row>
    <row r="80" spans="1:7" x14ac:dyDescent="0.3">
      <c r="D80" s="1"/>
      <c r="E80" s="1"/>
      <c r="F80" s="1"/>
    </row>
    <row r="81" spans="1:6" x14ac:dyDescent="0.3">
      <c r="A81" s="2"/>
      <c r="B81" s="3"/>
      <c r="C81" s="1"/>
      <c r="D81" s="1"/>
      <c r="E81" s="1"/>
      <c r="F81" s="1"/>
    </row>
    <row r="82" spans="1:6" x14ac:dyDescent="0.3">
      <c r="A82" s="2"/>
      <c r="B82" s="3"/>
      <c r="C82" s="1"/>
      <c r="D82" s="1"/>
      <c r="E82" s="1"/>
      <c r="F82" s="1"/>
    </row>
    <row r="83" spans="1:6" x14ac:dyDescent="0.3">
      <c r="A83" s="2"/>
      <c r="B83" s="3"/>
      <c r="C83" s="1"/>
      <c r="D83" s="1"/>
      <c r="E83" s="1"/>
      <c r="F83" s="1"/>
    </row>
    <row r="84" spans="1:6" x14ac:dyDescent="0.3">
      <c r="A84" s="2"/>
      <c r="B84" s="3"/>
      <c r="C84" s="1"/>
      <c r="D84" s="1"/>
      <c r="E84" s="1"/>
      <c r="F84" s="1"/>
    </row>
    <row r="85" spans="1:6" x14ac:dyDescent="0.3">
      <c r="A85" s="2"/>
      <c r="B85" s="3"/>
      <c r="C85" s="1"/>
      <c r="D85" s="1"/>
      <c r="E85" s="1"/>
      <c r="F85" s="1"/>
    </row>
    <row r="86" spans="1:6" x14ac:dyDescent="0.3">
      <c r="A86" s="2"/>
      <c r="B86" s="3"/>
      <c r="C86" s="1"/>
      <c r="D86" s="1"/>
      <c r="E86" s="1"/>
      <c r="F86" s="1"/>
    </row>
    <row r="87" spans="1:6" x14ac:dyDescent="0.3">
      <c r="A87" s="2"/>
      <c r="B87" s="3"/>
      <c r="C87" s="1"/>
      <c r="D87" s="1"/>
      <c r="E87" s="1"/>
      <c r="F87" s="1"/>
    </row>
    <row r="88" spans="1:6" x14ac:dyDescent="0.3">
      <c r="A88" s="2"/>
      <c r="B88" s="3"/>
      <c r="C88" s="1"/>
      <c r="D88" s="1"/>
      <c r="E88" s="1"/>
      <c r="F88" s="1"/>
    </row>
    <row r="89" spans="1:6" x14ac:dyDescent="0.3">
      <c r="A89" s="2"/>
      <c r="B89" s="3"/>
      <c r="C89" s="1"/>
      <c r="D89" s="1"/>
      <c r="E89" s="1"/>
      <c r="F89" s="1"/>
    </row>
    <row r="90" spans="1:6" x14ac:dyDescent="0.3">
      <c r="A90" s="2"/>
      <c r="B90" s="3"/>
      <c r="C90" s="1"/>
      <c r="D90" s="1"/>
      <c r="E90" s="1"/>
      <c r="F90" s="1"/>
    </row>
    <row r="91" spans="1:6" x14ac:dyDescent="0.3">
      <c r="A91" s="2"/>
      <c r="B91" s="3"/>
      <c r="C91" s="1"/>
      <c r="D91" s="1"/>
      <c r="E91" s="1"/>
      <c r="F91" s="1"/>
    </row>
    <row r="92" spans="1:6" x14ac:dyDescent="0.3">
      <c r="A92" s="2"/>
      <c r="B92" s="3"/>
      <c r="C92" s="1"/>
      <c r="D92" s="1"/>
      <c r="E92" s="1"/>
      <c r="F92" s="1"/>
    </row>
    <row r="93" spans="1:6" x14ac:dyDescent="0.3">
      <c r="A93" s="2"/>
      <c r="B93" s="3"/>
      <c r="C93" s="1"/>
      <c r="D93" s="1"/>
      <c r="E93" s="1"/>
      <c r="F93" s="1"/>
    </row>
    <row r="94" spans="1:6" x14ac:dyDescent="0.3">
      <c r="A94" s="2"/>
      <c r="B94" s="3"/>
      <c r="C94" s="1"/>
      <c r="D94" s="1"/>
      <c r="E94" s="1"/>
      <c r="F94" s="1"/>
    </row>
    <row r="95" spans="1:6" x14ac:dyDescent="0.3">
      <c r="A95" s="2"/>
      <c r="B95" s="3"/>
      <c r="C95" s="1"/>
      <c r="D95" s="1"/>
      <c r="E95" s="1"/>
      <c r="F95" s="1"/>
    </row>
    <row r="96" spans="1:6" x14ac:dyDescent="0.3">
      <c r="A96" s="2"/>
      <c r="B96" s="3"/>
      <c r="C96" s="1"/>
      <c r="D96" s="1"/>
      <c r="E96" s="1"/>
      <c r="F96" s="1"/>
    </row>
    <row r="97" spans="1:6" x14ac:dyDescent="0.3">
      <c r="A97" s="2"/>
      <c r="B97" s="3"/>
      <c r="C97" s="1"/>
      <c r="D97" s="1"/>
      <c r="E97" s="1"/>
      <c r="F97" s="1"/>
    </row>
    <row r="98" spans="1:6" x14ac:dyDescent="0.3">
      <c r="A98" s="2"/>
      <c r="B98" s="3"/>
      <c r="C98" s="1"/>
      <c r="D98" s="1"/>
      <c r="E98" s="1"/>
      <c r="F98" s="1"/>
    </row>
    <row r="99" spans="1:6" x14ac:dyDescent="0.3">
      <c r="A99" s="2"/>
      <c r="B99" s="3"/>
      <c r="C99" s="1"/>
      <c r="D99" s="1"/>
      <c r="E99" s="1"/>
      <c r="F99" s="1"/>
    </row>
    <row r="100" spans="1:6" x14ac:dyDescent="0.3">
      <c r="A100" s="2"/>
      <c r="B100" s="3"/>
      <c r="C100" s="1"/>
      <c r="D100" s="1"/>
      <c r="E100" s="1"/>
      <c r="F100" s="1"/>
    </row>
    <row r="101" spans="1:6" x14ac:dyDescent="0.3">
      <c r="A101" s="2"/>
      <c r="B101" s="3"/>
      <c r="C101" s="1"/>
      <c r="D101" s="1"/>
      <c r="E101" s="1"/>
      <c r="F101" s="1"/>
    </row>
    <row r="102" spans="1:6" x14ac:dyDescent="0.3">
      <c r="A102" s="2"/>
      <c r="B102" s="3"/>
      <c r="C102" s="1"/>
      <c r="D102" s="1"/>
      <c r="E102" s="1"/>
      <c r="F102" s="1"/>
    </row>
    <row r="103" spans="1:6" x14ac:dyDescent="0.3">
      <c r="A103" s="2"/>
      <c r="B103" s="3"/>
      <c r="C103" s="1"/>
      <c r="D103" s="1"/>
      <c r="E103" s="1"/>
      <c r="F103" s="1"/>
    </row>
    <row r="104" spans="1:6" x14ac:dyDescent="0.3">
      <c r="A104" s="2"/>
      <c r="B104" s="3"/>
      <c r="C104" s="1"/>
      <c r="D104" s="1"/>
      <c r="E104" s="1"/>
      <c r="F104" s="1"/>
    </row>
    <row r="105" spans="1:6" x14ac:dyDescent="0.3">
      <c r="A105" s="2"/>
      <c r="B105" s="3"/>
      <c r="C105" s="1"/>
      <c r="D105" s="1"/>
      <c r="E105" s="1"/>
      <c r="F105" s="1"/>
    </row>
    <row r="106" spans="1:6" x14ac:dyDescent="0.3">
      <c r="A106" s="2"/>
      <c r="B106" s="3"/>
      <c r="C106" s="1"/>
      <c r="D106" s="1"/>
      <c r="E106" s="1"/>
      <c r="F106" s="1"/>
    </row>
    <row r="107" spans="1:6" x14ac:dyDescent="0.3">
      <c r="A107" s="2"/>
      <c r="B107" s="3"/>
      <c r="C107" s="1"/>
      <c r="D107" s="1"/>
      <c r="E107" s="1"/>
      <c r="F107" s="1"/>
    </row>
    <row r="108" spans="1:6" x14ac:dyDescent="0.3">
      <c r="A108" s="2"/>
      <c r="B108" s="3"/>
      <c r="C108" s="1"/>
      <c r="D108" s="1"/>
      <c r="E108" s="1"/>
      <c r="F108" s="1"/>
    </row>
    <row r="109" spans="1:6" x14ac:dyDescent="0.3">
      <c r="A109" s="2"/>
      <c r="B109" s="3"/>
      <c r="C109" s="1"/>
      <c r="D109" s="1"/>
      <c r="E109" s="1"/>
      <c r="F109" s="1"/>
    </row>
    <row r="110" spans="1:6" x14ac:dyDescent="0.3">
      <c r="A110" s="2"/>
      <c r="B110" s="3"/>
      <c r="C110" s="1"/>
      <c r="D110" s="1"/>
      <c r="E110" s="1"/>
      <c r="F110" s="1"/>
    </row>
    <row r="111" spans="1:6" x14ac:dyDescent="0.3">
      <c r="A111" s="2"/>
      <c r="B111" s="3"/>
      <c r="C111" s="1"/>
      <c r="D111" s="1"/>
      <c r="E111" s="1"/>
      <c r="F111" s="1"/>
    </row>
    <row r="112" spans="1:6" x14ac:dyDescent="0.3">
      <c r="A112" s="2"/>
      <c r="B112" s="3"/>
      <c r="C112" s="1"/>
      <c r="D112" s="1"/>
      <c r="E112" s="1"/>
      <c r="F112" s="1"/>
    </row>
    <row r="113" spans="1:6" x14ac:dyDescent="0.3">
      <c r="A113" s="2"/>
      <c r="B113" s="3"/>
      <c r="C113" s="1"/>
      <c r="D113" s="1"/>
      <c r="E113" s="1"/>
      <c r="F113" s="1"/>
    </row>
    <row r="114" spans="1:6" x14ac:dyDescent="0.3">
      <c r="A114" s="2"/>
      <c r="B114" s="3"/>
      <c r="C114" s="1"/>
      <c r="D114" s="1"/>
      <c r="E114" s="1"/>
      <c r="F114" s="1"/>
    </row>
    <row r="115" spans="1:6" x14ac:dyDescent="0.3">
      <c r="A115" s="2"/>
      <c r="B115" s="3"/>
      <c r="C115" s="1"/>
      <c r="D115" s="1"/>
      <c r="E115" s="1"/>
      <c r="F115" s="1"/>
    </row>
    <row r="116" spans="1:6" x14ac:dyDescent="0.3">
      <c r="A116" s="2"/>
      <c r="B116" s="3"/>
      <c r="C116" s="1"/>
      <c r="D116" s="1"/>
      <c r="E116" s="1"/>
      <c r="F116" s="1"/>
    </row>
    <row r="117" spans="1:6" x14ac:dyDescent="0.3">
      <c r="A117" s="2"/>
      <c r="B117" s="3"/>
      <c r="C117" s="1"/>
      <c r="D117" s="1"/>
      <c r="E117" s="1"/>
      <c r="F117" s="1"/>
    </row>
    <row r="118" spans="1:6" x14ac:dyDescent="0.3">
      <c r="A118" s="2"/>
      <c r="B118" s="3"/>
      <c r="C118" s="1"/>
      <c r="D118" s="1"/>
      <c r="E118" s="1"/>
      <c r="F118" s="1"/>
    </row>
    <row r="119" spans="1:6" x14ac:dyDescent="0.3">
      <c r="A119" s="2"/>
      <c r="B119" s="3"/>
      <c r="C119" s="1"/>
      <c r="D119" s="1"/>
      <c r="E119" s="1"/>
      <c r="F119" s="1"/>
    </row>
    <row r="120" spans="1:6" x14ac:dyDescent="0.3">
      <c r="A120" s="2"/>
      <c r="B120" s="3"/>
      <c r="C120" s="1"/>
      <c r="D120" s="1"/>
      <c r="E120" s="1"/>
      <c r="F120" s="1"/>
    </row>
    <row r="121" spans="1:6" x14ac:dyDescent="0.3">
      <c r="A121" s="2"/>
      <c r="B121" s="3"/>
      <c r="C121" s="1"/>
      <c r="D121" s="1"/>
      <c r="E121" s="1"/>
      <c r="F121" s="1"/>
    </row>
    <row r="122" spans="1:6" x14ac:dyDescent="0.3">
      <c r="A122" s="2"/>
      <c r="B122" s="3"/>
      <c r="C122" s="1"/>
      <c r="D122" s="1"/>
      <c r="E122" s="1"/>
      <c r="F122" s="1"/>
    </row>
    <row r="123" spans="1:6" x14ac:dyDescent="0.3">
      <c r="A123" s="2"/>
      <c r="B123" s="3"/>
      <c r="C123" s="1"/>
      <c r="D123" s="1"/>
      <c r="E123" s="1"/>
      <c r="F123" s="1"/>
    </row>
    <row r="124" spans="1:6" x14ac:dyDescent="0.3">
      <c r="A124" s="2"/>
      <c r="B124" s="3"/>
      <c r="C124" s="1"/>
      <c r="D124" s="1"/>
      <c r="E124" s="1"/>
      <c r="F124" s="1"/>
    </row>
    <row r="125" spans="1:6" x14ac:dyDescent="0.3">
      <c r="A125" s="2"/>
      <c r="B125" s="3"/>
      <c r="C125" s="1"/>
      <c r="D125" s="1"/>
      <c r="E125" s="1"/>
      <c r="F125" s="1"/>
    </row>
    <row r="126" spans="1:6" x14ac:dyDescent="0.3">
      <c r="A126" s="2"/>
      <c r="B126" s="3"/>
      <c r="C126" s="1"/>
      <c r="D126" s="1"/>
      <c r="E126" s="1"/>
      <c r="F126" s="1"/>
    </row>
    <row r="127" spans="1:6" x14ac:dyDescent="0.3">
      <c r="A127" s="2"/>
      <c r="B127" s="3"/>
      <c r="C127" s="1"/>
      <c r="D127" s="1"/>
      <c r="E127" s="1"/>
      <c r="F127" s="1"/>
    </row>
    <row r="128" spans="1:6" x14ac:dyDescent="0.3">
      <c r="A128" s="2"/>
      <c r="B128" s="3"/>
      <c r="C128" s="1"/>
      <c r="D128" s="1"/>
      <c r="E128" s="1"/>
      <c r="F128" s="1"/>
    </row>
    <row r="129" spans="1:6" x14ac:dyDescent="0.3">
      <c r="A129" s="2"/>
      <c r="B129" s="3"/>
      <c r="C129" s="1"/>
      <c r="D129" s="1"/>
      <c r="E129" s="1"/>
      <c r="F129" s="1"/>
    </row>
    <row r="130" spans="1:6" x14ac:dyDescent="0.3">
      <c r="A130" s="2"/>
      <c r="B130" s="3"/>
      <c r="C130" s="1"/>
      <c r="D130" s="1"/>
      <c r="E130" s="1"/>
      <c r="F130" s="1"/>
    </row>
    <row r="131" spans="1:6" x14ac:dyDescent="0.3">
      <c r="A131" s="2"/>
      <c r="B131" s="3"/>
      <c r="C131" s="1"/>
      <c r="D131" s="1"/>
      <c r="E131" s="1"/>
      <c r="F131" s="1"/>
    </row>
    <row r="132" spans="1:6" x14ac:dyDescent="0.3">
      <c r="A132" s="2"/>
      <c r="B132" s="3"/>
      <c r="C132" s="1"/>
      <c r="D132" s="1"/>
      <c r="E132" s="1"/>
      <c r="F132" s="1"/>
    </row>
    <row r="133" spans="1:6" x14ac:dyDescent="0.3">
      <c r="A133" s="2"/>
      <c r="B133" s="3"/>
      <c r="C133" s="1"/>
      <c r="D133" s="1"/>
      <c r="E133" s="1"/>
      <c r="F133" s="1"/>
    </row>
    <row r="134" spans="1:6" x14ac:dyDescent="0.3">
      <c r="A134" s="2"/>
      <c r="B134" s="3"/>
      <c r="C134" s="1"/>
      <c r="D134" s="1"/>
      <c r="E134" s="1"/>
      <c r="F134" s="1"/>
    </row>
    <row r="135" spans="1:6" x14ac:dyDescent="0.3">
      <c r="A135" s="2"/>
      <c r="B135" s="3"/>
      <c r="C135" s="1"/>
      <c r="D135" s="1"/>
      <c r="E135" s="1"/>
      <c r="F135" s="1"/>
    </row>
    <row r="136" spans="1:6" x14ac:dyDescent="0.3">
      <c r="A136" s="2"/>
      <c r="B136" s="3"/>
      <c r="C136" s="1"/>
      <c r="D136" s="1"/>
      <c r="E136" s="1"/>
      <c r="F136" s="1"/>
    </row>
    <row r="137" spans="1:6" x14ac:dyDescent="0.3">
      <c r="A137" s="2"/>
      <c r="B137" s="3"/>
      <c r="C137" s="1"/>
      <c r="D137" s="1"/>
      <c r="E137" s="1"/>
      <c r="F137" s="1"/>
    </row>
    <row r="138" spans="1:6" x14ac:dyDescent="0.3">
      <c r="A138" s="2"/>
      <c r="B138" s="3"/>
      <c r="C138" s="1"/>
      <c r="D138" s="1"/>
      <c r="E138" s="1"/>
      <c r="F138" s="1"/>
    </row>
    <row r="139" spans="1:6" x14ac:dyDescent="0.3">
      <c r="A139" s="2"/>
      <c r="B139" s="3"/>
      <c r="C139" s="1"/>
      <c r="D139" s="1"/>
      <c r="E139" s="1"/>
      <c r="F139" s="1"/>
    </row>
    <row r="140" spans="1:6" x14ac:dyDescent="0.3">
      <c r="A140" s="2"/>
      <c r="B140" s="3"/>
      <c r="C140" s="1"/>
      <c r="D140" s="1"/>
      <c r="E140" s="1"/>
      <c r="F140" s="1"/>
    </row>
    <row r="141" spans="1:6" x14ac:dyDescent="0.3">
      <c r="A141" s="1"/>
      <c r="B141" s="3"/>
      <c r="C141" s="1"/>
      <c r="D141" s="1"/>
      <c r="E141" s="1"/>
      <c r="F141" s="1"/>
    </row>
    <row r="142" spans="1:6" x14ac:dyDescent="0.3">
      <c r="A142" s="1"/>
      <c r="B142" s="3"/>
      <c r="C142" s="1"/>
      <c r="D142" s="1"/>
      <c r="E142" s="1"/>
      <c r="F142" s="1"/>
    </row>
    <row r="143" spans="1:6" x14ac:dyDescent="0.3">
      <c r="A143" s="1"/>
      <c r="B143" s="3"/>
      <c r="C143" s="1"/>
      <c r="D143" s="1"/>
      <c r="E143" s="1"/>
      <c r="F143" s="1"/>
    </row>
    <row r="144" spans="1:6" x14ac:dyDescent="0.3">
      <c r="A144" s="1"/>
      <c r="B144" s="3"/>
      <c r="C144" s="1"/>
      <c r="D144" s="1"/>
      <c r="E144" s="1"/>
      <c r="F144" s="1"/>
    </row>
    <row r="145" spans="1:6" x14ac:dyDescent="0.3">
      <c r="A145" s="1"/>
      <c r="B145" s="3"/>
      <c r="C145" s="1"/>
      <c r="D145" s="1"/>
      <c r="E145" s="1"/>
      <c r="F145" s="1"/>
    </row>
    <row r="146" spans="1:6" x14ac:dyDescent="0.3">
      <c r="A146" s="1"/>
      <c r="B146" s="3"/>
      <c r="C146" s="1"/>
      <c r="D146" s="1"/>
      <c r="E146" s="1"/>
      <c r="F146" s="1"/>
    </row>
    <row r="147" spans="1:6" x14ac:dyDescent="0.3">
      <c r="A147" s="1"/>
      <c r="B147" s="3"/>
      <c r="C147" s="1"/>
      <c r="D147" s="1"/>
      <c r="E147" s="1"/>
      <c r="F147" s="1"/>
    </row>
    <row r="148" spans="1:6" x14ac:dyDescent="0.3">
      <c r="A148" s="1"/>
      <c r="B148" s="3"/>
      <c r="C148" s="1"/>
      <c r="D148" s="1"/>
      <c r="E148" s="1"/>
      <c r="F148" s="1"/>
    </row>
    <row r="149" spans="1:6" x14ac:dyDescent="0.3">
      <c r="A149" s="1"/>
      <c r="B149" s="3"/>
      <c r="C149" s="1"/>
      <c r="D149" s="1"/>
      <c r="E149" s="1"/>
      <c r="F149" s="1"/>
    </row>
    <row r="150" spans="1:6" x14ac:dyDescent="0.3">
      <c r="A150" s="1"/>
      <c r="B150" s="3"/>
      <c r="C150" s="1"/>
      <c r="D150" s="1"/>
      <c r="E150" s="1"/>
      <c r="F150" s="1"/>
    </row>
    <row r="151" spans="1:6" x14ac:dyDescent="0.3">
      <c r="A151" s="1"/>
      <c r="B151" s="3"/>
      <c r="C151" s="1"/>
      <c r="D151" s="1"/>
      <c r="E151" s="1"/>
      <c r="F151" s="1"/>
    </row>
    <row r="152" spans="1:6" x14ac:dyDescent="0.3">
      <c r="A152" s="1"/>
      <c r="B152" s="3"/>
      <c r="C152" s="1"/>
      <c r="D152" s="1"/>
      <c r="E152" s="1"/>
      <c r="F152" s="1"/>
    </row>
    <row r="153" spans="1:6" x14ac:dyDescent="0.3">
      <c r="A153" s="1"/>
      <c r="B153" s="3"/>
      <c r="C153" s="1"/>
      <c r="D153" s="1"/>
      <c r="E153" s="1"/>
      <c r="F153" s="1"/>
    </row>
    <row r="154" spans="1:6" x14ac:dyDescent="0.3">
      <c r="A154" s="1"/>
      <c r="B154" s="3"/>
      <c r="C154" s="1"/>
      <c r="D154" s="1"/>
      <c r="E154" s="1"/>
      <c r="F154" s="1"/>
    </row>
    <row r="155" spans="1:6" x14ac:dyDescent="0.3">
      <c r="A155" s="1"/>
      <c r="B155" s="3"/>
      <c r="C155" s="1"/>
      <c r="D155" s="1"/>
      <c r="E155" s="1"/>
      <c r="F155" s="1"/>
    </row>
    <row r="156" spans="1:6" x14ac:dyDescent="0.3">
      <c r="A156" s="1"/>
      <c r="B156" s="3"/>
      <c r="C156" s="1"/>
      <c r="D156" s="1"/>
      <c r="E156" s="1"/>
      <c r="F156" s="1"/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  <row r="162" spans="1:6" x14ac:dyDescent="0.3">
      <c r="A162" s="1"/>
      <c r="B162" s="1"/>
      <c r="C162" s="1"/>
      <c r="D162" s="1"/>
      <c r="E162" s="1"/>
      <c r="F162" s="1"/>
    </row>
    <row r="163" spans="1:6" x14ac:dyDescent="0.3">
      <c r="A163" s="1"/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x14ac:dyDescent="0.3">
      <c r="A168" s="1"/>
      <c r="B168" s="1"/>
      <c r="C168" s="1"/>
      <c r="D168" s="1"/>
      <c r="E168" s="1"/>
      <c r="F168" s="1"/>
    </row>
    <row r="169" spans="1:6" x14ac:dyDescent="0.3">
      <c r="A169" s="1"/>
      <c r="B169" s="1"/>
      <c r="C169" s="1"/>
      <c r="D169" s="1"/>
      <c r="E169" s="1"/>
      <c r="F169" s="1"/>
    </row>
    <row r="170" spans="1:6" x14ac:dyDescent="0.3">
      <c r="A170" s="1"/>
      <c r="B170" s="1"/>
      <c r="C170" s="1"/>
      <c r="D170" s="1"/>
      <c r="E170" s="1"/>
      <c r="F170" s="1"/>
    </row>
    <row r="171" spans="1:6" x14ac:dyDescent="0.3">
      <c r="A171" s="1"/>
      <c r="B171" s="1"/>
      <c r="C171" s="1"/>
      <c r="D171" s="1"/>
      <c r="E171" s="1"/>
      <c r="F171" s="1"/>
    </row>
    <row r="172" spans="1:6" x14ac:dyDescent="0.3">
      <c r="A172" s="1"/>
      <c r="B172" s="1"/>
      <c r="C172" s="1"/>
      <c r="D172" s="1"/>
      <c r="E172" s="1"/>
      <c r="F172" s="1"/>
    </row>
    <row r="173" spans="1:6" x14ac:dyDescent="0.3">
      <c r="A173" s="1"/>
      <c r="B173" s="1"/>
      <c r="C173" s="1"/>
      <c r="D173" s="1"/>
      <c r="E173" s="1"/>
      <c r="F173" s="1"/>
    </row>
    <row r="174" spans="1:6" x14ac:dyDescent="0.3">
      <c r="A174" s="1"/>
      <c r="B174" s="1"/>
      <c r="C174" s="1"/>
      <c r="D174" s="1"/>
      <c r="E174" s="1"/>
      <c r="F174" s="1"/>
    </row>
    <row r="175" spans="1:6" x14ac:dyDescent="0.3">
      <c r="A175" s="1"/>
      <c r="B175" s="1"/>
      <c r="C175" s="1"/>
      <c r="D175" s="1"/>
      <c r="E175" s="1"/>
      <c r="F175" s="1"/>
    </row>
    <row r="176" spans="1:6" x14ac:dyDescent="0.3">
      <c r="A176" s="1"/>
      <c r="B176" s="1"/>
      <c r="C176" s="1"/>
      <c r="D176" s="1"/>
      <c r="E176" s="1"/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  <row r="181" spans="1:6" x14ac:dyDescent="0.3">
      <c r="A181" s="1"/>
      <c r="B181" s="1"/>
      <c r="C181" s="1"/>
      <c r="D181" s="1"/>
      <c r="E181" s="1"/>
      <c r="F181" s="1"/>
    </row>
    <row r="182" spans="1:6" x14ac:dyDescent="0.3">
      <c r="A182" s="1"/>
      <c r="B182" s="1"/>
      <c r="C182" s="1"/>
      <c r="D182" s="1"/>
      <c r="E182" s="1"/>
      <c r="F182" s="1"/>
    </row>
    <row r="183" spans="1:6" x14ac:dyDescent="0.3">
      <c r="A183" s="1"/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  <c r="E184" s="1"/>
      <c r="F184" s="1"/>
    </row>
    <row r="185" spans="1:6" x14ac:dyDescent="0.3">
      <c r="A185" s="1"/>
      <c r="B185" s="1"/>
      <c r="C185" s="1"/>
      <c r="D185" s="1"/>
      <c r="E185" s="1"/>
      <c r="F185" s="1"/>
    </row>
    <row r="186" spans="1:6" x14ac:dyDescent="0.3">
      <c r="A186" s="1"/>
      <c r="B186" s="1"/>
      <c r="C186" s="1"/>
      <c r="D186" s="1"/>
      <c r="E186" s="1"/>
      <c r="F186" s="1"/>
    </row>
    <row r="187" spans="1:6" x14ac:dyDescent="0.3">
      <c r="A187" s="1"/>
      <c r="B187" s="1"/>
      <c r="C187" s="1"/>
      <c r="D187" s="1"/>
      <c r="E187" s="1"/>
      <c r="F187" s="1"/>
    </row>
    <row r="188" spans="1:6" x14ac:dyDescent="0.3">
      <c r="A188" s="1"/>
      <c r="B188" s="1"/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  <row r="190" spans="1:6" x14ac:dyDescent="0.3">
      <c r="A190" s="1"/>
      <c r="B190" s="1"/>
      <c r="C190" s="1"/>
      <c r="D190" s="1"/>
      <c r="E190" s="1"/>
      <c r="F190" s="1"/>
    </row>
    <row r="191" spans="1:6" x14ac:dyDescent="0.3">
      <c r="A191" s="1"/>
      <c r="B191" s="1"/>
      <c r="C191" s="1"/>
      <c r="D191" s="1"/>
      <c r="E191" s="1"/>
      <c r="F191" s="1"/>
    </row>
    <row r="192" spans="1:6" x14ac:dyDescent="0.3">
      <c r="A192" s="1"/>
      <c r="B192" s="1"/>
      <c r="C192" s="1"/>
      <c r="D192" s="1"/>
      <c r="E192" s="1"/>
      <c r="F192" s="1"/>
    </row>
    <row r="193" spans="1:6" x14ac:dyDescent="0.3">
      <c r="A193" s="1"/>
      <c r="B193" s="1"/>
      <c r="C193" s="1"/>
      <c r="D193" s="1"/>
      <c r="E193" s="1"/>
      <c r="F193" s="1"/>
    </row>
    <row r="194" spans="1:6" x14ac:dyDescent="0.3">
      <c r="A194" s="1"/>
      <c r="B194" s="1"/>
      <c r="C194" s="1"/>
      <c r="D194" s="1"/>
      <c r="E194" s="1"/>
      <c r="F194" s="1"/>
    </row>
    <row r="195" spans="1:6" x14ac:dyDescent="0.3">
      <c r="A195" s="1"/>
      <c r="B195" s="1"/>
      <c r="C195" s="1"/>
      <c r="D195" s="1"/>
      <c r="E195" s="1"/>
      <c r="F195" s="1"/>
    </row>
    <row r="196" spans="1:6" x14ac:dyDescent="0.3">
      <c r="A196" s="1"/>
      <c r="B196" s="1"/>
      <c r="C196" s="1"/>
      <c r="D196" s="1"/>
      <c r="E196" s="1"/>
      <c r="F196" s="1"/>
    </row>
    <row r="197" spans="1:6" x14ac:dyDescent="0.3">
      <c r="A197" s="1"/>
      <c r="B197" s="1"/>
      <c r="C197" s="1"/>
      <c r="D197" s="1"/>
      <c r="E197" s="1"/>
      <c r="F197" s="1"/>
    </row>
    <row r="198" spans="1:6" x14ac:dyDescent="0.3">
      <c r="A198" s="1"/>
      <c r="B198" s="1"/>
      <c r="C198" s="1"/>
      <c r="D198" s="1"/>
      <c r="E198" s="1"/>
      <c r="F198" s="1"/>
    </row>
    <row r="199" spans="1:6" x14ac:dyDescent="0.3">
      <c r="A199" s="1"/>
      <c r="B199" s="1"/>
      <c r="C199" s="1"/>
      <c r="D199" s="1"/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1"/>
      <c r="B201" s="1"/>
      <c r="C201" s="1"/>
      <c r="D201" s="1"/>
      <c r="E201" s="1"/>
      <c r="F201" s="1"/>
    </row>
    <row r="202" spans="1:6" x14ac:dyDescent="0.3">
      <c r="A202" s="1"/>
      <c r="B202" s="1"/>
      <c r="C202" s="1"/>
      <c r="D202" s="1"/>
      <c r="E202" s="1"/>
      <c r="F202" s="1"/>
    </row>
    <row r="203" spans="1:6" x14ac:dyDescent="0.3">
      <c r="A203" s="1"/>
      <c r="B203" s="1"/>
      <c r="C203" s="1"/>
      <c r="D203" s="1"/>
      <c r="E203" s="1"/>
      <c r="F203" s="1"/>
    </row>
    <row r="204" spans="1:6" x14ac:dyDescent="0.3">
      <c r="A204" s="1"/>
      <c r="B204" s="1"/>
      <c r="C204" s="1"/>
      <c r="D204" s="1"/>
      <c r="E204" s="1"/>
      <c r="F204" s="1"/>
    </row>
    <row r="205" spans="1:6" x14ac:dyDescent="0.3">
      <c r="A205" s="1"/>
      <c r="B205" s="1"/>
      <c r="C205" s="1"/>
      <c r="D205" s="1"/>
      <c r="E205" s="1"/>
      <c r="F205" s="1"/>
    </row>
    <row r="206" spans="1:6" x14ac:dyDescent="0.3">
      <c r="A206" s="1"/>
      <c r="B206" s="1"/>
      <c r="C206" s="1"/>
      <c r="D206" s="1"/>
      <c r="E206" s="1"/>
      <c r="F206" s="1"/>
    </row>
    <row r="207" spans="1:6" x14ac:dyDescent="0.3">
      <c r="A207" s="1"/>
      <c r="B207" s="1"/>
      <c r="C207" s="1"/>
      <c r="D207" s="1"/>
      <c r="E207" s="1"/>
      <c r="F207" s="1"/>
    </row>
    <row r="208" spans="1:6" x14ac:dyDescent="0.3">
      <c r="A208" s="1"/>
      <c r="B208" s="1"/>
      <c r="C208" s="1"/>
      <c r="D208" s="1"/>
      <c r="E208" s="1"/>
      <c r="F208" s="1"/>
    </row>
    <row r="209" spans="1:6" x14ac:dyDescent="0.3">
      <c r="A209" s="1"/>
      <c r="B209" s="1"/>
      <c r="C209" s="1"/>
      <c r="D209" s="1"/>
      <c r="E209" s="1"/>
      <c r="F209" s="1"/>
    </row>
    <row r="210" spans="1:6" x14ac:dyDescent="0.3">
      <c r="A210" s="1"/>
      <c r="B210" s="1"/>
      <c r="C210" s="1"/>
      <c r="D210" s="1"/>
      <c r="E210" s="1"/>
      <c r="F210" s="1"/>
    </row>
    <row r="211" spans="1:6" x14ac:dyDescent="0.3">
      <c r="A211" s="1"/>
      <c r="B211" s="1"/>
      <c r="C211" s="1"/>
      <c r="D211" s="1"/>
      <c r="E211" s="1"/>
      <c r="F211" s="1"/>
    </row>
    <row r="212" spans="1:6" x14ac:dyDescent="0.3">
      <c r="A212" s="1"/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1"/>
      <c r="B214" s="1"/>
      <c r="C214" s="1"/>
      <c r="D214" s="1"/>
      <c r="E214" s="1"/>
      <c r="F214" s="1"/>
    </row>
    <row r="215" spans="1:6" x14ac:dyDescent="0.3">
      <c r="A215" s="1"/>
      <c r="B215" s="1"/>
      <c r="C215" s="1"/>
      <c r="D215" s="1"/>
      <c r="E215" s="1"/>
      <c r="F215" s="1"/>
    </row>
    <row r="216" spans="1:6" x14ac:dyDescent="0.3">
      <c r="A216" s="1"/>
      <c r="B216" s="1"/>
      <c r="C216" s="1"/>
      <c r="D216" s="1"/>
      <c r="E216" s="1"/>
      <c r="F216" s="1"/>
    </row>
    <row r="217" spans="1:6" x14ac:dyDescent="0.3">
      <c r="A217" s="1"/>
      <c r="B217" s="1"/>
      <c r="C217" s="1"/>
      <c r="D217" s="1"/>
      <c r="E217" s="1"/>
      <c r="F217" s="1"/>
    </row>
    <row r="218" spans="1:6" x14ac:dyDescent="0.3">
      <c r="A218" s="1"/>
      <c r="B218" s="1"/>
      <c r="C218" s="1"/>
      <c r="D218" s="1"/>
      <c r="E218" s="1"/>
      <c r="F218" s="1"/>
    </row>
    <row r="219" spans="1:6" x14ac:dyDescent="0.3">
      <c r="A219" s="1"/>
      <c r="B219" s="1"/>
      <c r="C219" s="1"/>
      <c r="D219" s="1"/>
      <c r="E219" s="1"/>
      <c r="F219" s="1"/>
    </row>
    <row r="220" spans="1:6" x14ac:dyDescent="0.3">
      <c r="A220" s="1"/>
      <c r="B220" s="1"/>
      <c r="C220" s="1"/>
      <c r="D220" s="1"/>
      <c r="E220" s="1"/>
      <c r="F220" s="1"/>
    </row>
    <row r="221" spans="1:6" x14ac:dyDescent="0.3">
      <c r="A221" s="1"/>
      <c r="B221" s="1"/>
      <c r="C221" s="1"/>
      <c r="D221" s="1"/>
      <c r="E221" s="1"/>
      <c r="F221" s="1"/>
    </row>
    <row r="222" spans="1:6" x14ac:dyDescent="0.3">
      <c r="A222" s="1"/>
      <c r="B222" s="1"/>
      <c r="C222" s="1"/>
      <c r="D222" s="1"/>
      <c r="E222" s="1"/>
      <c r="F222" s="1"/>
    </row>
    <row r="223" spans="1:6" x14ac:dyDescent="0.3">
      <c r="A223" s="1"/>
      <c r="B223" s="1"/>
      <c r="C223" s="1"/>
      <c r="D223" s="1"/>
      <c r="E223" s="1"/>
      <c r="F223" s="1"/>
    </row>
    <row r="224" spans="1:6" x14ac:dyDescent="0.3">
      <c r="A224" s="1"/>
      <c r="B224" s="1"/>
      <c r="C224" s="1"/>
      <c r="D224" s="1"/>
      <c r="E224" s="1"/>
      <c r="F224" s="1"/>
    </row>
    <row r="225" spans="1:6" x14ac:dyDescent="0.3">
      <c r="A225" s="1"/>
      <c r="B225" s="1"/>
      <c r="C225" s="1"/>
      <c r="D225" s="1"/>
      <c r="E225" s="1"/>
      <c r="F225" s="1"/>
    </row>
    <row r="226" spans="1:6" x14ac:dyDescent="0.3">
      <c r="A226" s="1"/>
      <c r="B226" s="1"/>
      <c r="C226" s="1"/>
      <c r="D226" s="1"/>
      <c r="E226" s="1"/>
      <c r="F226" s="1"/>
    </row>
    <row r="227" spans="1:6" x14ac:dyDescent="0.3">
      <c r="A227" s="1"/>
      <c r="B227" s="1"/>
      <c r="C227" s="1"/>
      <c r="D227" s="1"/>
      <c r="E227" s="1"/>
      <c r="F227" s="1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1"/>
      <c r="B229" s="1"/>
      <c r="C229" s="1"/>
      <c r="D229" s="1"/>
      <c r="E229" s="1"/>
      <c r="F229" s="1"/>
    </row>
    <row r="230" spans="1:6" x14ac:dyDescent="0.3">
      <c r="A230" s="1"/>
      <c r="B230" s="1"/>
      <c r="C230" s="1"/>
      <c r="D230" s="1"/>
      <c r="E230" s="1"/>
      <c r="F230" s="1"/>
    </row>
    <row r="231" spans="1:6" x14ac:dyDescent="0.3">
      <c r="A231" s="1"/>
      <c r="B231" s="1"/>
      <c r="C231" s="1"/>
      <c r="D231" s="1"/>
      <c r="E231" s="1"/>
      <c r="F231" s="1"/>
    </row>
    <row r="232" spans="1:6" x14ac:dyDescent="0.3">
      <c r="A232" s="1"/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  <row r="242" spans="1:6" x14ac:dyDescent="0.3">
      <c r="A242" s="1"/>
      <c r="B242" s="1"/>
      <c r="C242" s="1"/>
      <c r="D242" s="1"/>
      <c r="E242" s="1"/>
      <c r="F242" s="1"/>
    </row>
    <row r="243" spans="1:6" x14ac:dyDescent="0.3">
      <c r="A243" s="1"/>
      <c r="B243" s="1"/>
      <c r="C243" s="1"/>
      <c r="D243" s="1"/>
      <c r="E243" s="1"/>
      <c r="F243" s="1"/>
    </row>
    <row r="244" spans="1:6" x14ac:dyDescent="0.3">
      <c r="A244" s="1"/>
      <c r="B244" s="1"/>
      <c r="C244" s="1"/>
      <c r="D244" s="1"/>
      <c r="E244" s="1"/>
      <c r="F244" s="1"/>
    </row>
    <row r="245" spans="1:6" x14ac:dyDescent="0.3">
      <c r="A245" s="1"/>
      <c r="B245" s="1"/>
      <c r="C245" s="1"/>
      <c r="D245" s="1"/>
      <c r="E245" s="1"/>
      <c r="F245" s="1"/>
    </row>
  </sheetData>
  <sortState xmlns:xlrd2="http://schemas.microsoft.com/office/spreadsheetml/2017/richdata2" ref="A10:C10">
    <sortCondition ref="B1"/>
  </sortState>
  <phoneticPr fontId="3" type="noConversion"/>
  <conditionalFormatting sqref="M4:M14">
    <cfRule type="containsText" dxfId="5" priority="1" operator="containsText" text="BAJÓ EL GASTO">
      <formula>NOT(ISERROR(SEARCH("BAJÓ EL GASTO",M4)))</formula>
    </cfRule>
    <cfRule type="containsText" dxfId="4" priority="2" operator="containsText" text="BAJÓ EL GASTO ">
      <formula>NOT(ISERROR(SEARCH("BAJÓ EL GASTO ",M4)))</formula>
    </cfRule>
    <cfRule type="containsText" dxfId="3" priority="3" operator="containsText" text="SUBIÓ EL GASTO">
      <formula>NOT(ISERROR(SEARCH("SUBIÓ EL GASTO",M4)))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F178"/>
  <sheetViews>
    <sheetView topLeftCell="A154" workbookViewId="0">
      <selection activeCell="C167" sqref="C167"/>
    </sheetView>
  </sheetViews>
  <sheetFormatPr baseColWidth="10" defaultColWidth="11.44140625" defaultRowHeight="14.4" x14ac:dyDescent="0.3"/>
  <cols>
    <col min="1" max="1" width="38.5546875" customWidth="1"/>
    <col min="5" max="5" width="19.33203125" customWidth="1"/>
    <col min="11" max="11" width="17" customWidth="1"/>
  </cols>
  <sheetData>
    <row r="1" spans="1:6" x14ac:dyDescent="0.3">
      <c r="A1" s="9" t="s">
        <v>18</v>
      </c>
      <c r="B1" s="15" t="s">
        <v>1</v>
      </c>
    </row>
    <row r="2" spans="1:6" x14ac:dyDescent="0.3">
      <c r="A2" t="s">
        <v>19</v>
      </c>
      <c r="B2" s="4">
        <v>700000</v>
      </c>
    </row>
    <row r="3" spans="1:6" x14ac:dyDescent="0.3">
      <c r="A3" t="s">
        <v>20</v>
      </c>
      <c r="B3" s="4">
        <v>151500</v>
      </c>
      <c r="E3" s="7" t="s">
        <v>3</v>
      </c>
      <c r="F3" s="7" t="s">
        <v>1</v>
      </c>
    </row>
    <row r="4" spans="1:6" x14ac:dyDescent="0.3">
      <c r="A4" t="s">
        <v>21</v>
      </c>
      <c r="B4" s="4">
        <v>31559</v>
      </c>
      <c r="E4" s="5" t="s">
        <v>6</v>
      </c>
      <c r="F4" s="8">
        <f>B14</f>
        <v>14057968</v>
      </c>
    </row>
    <row r="5" spans="1:6" x14ac:dyDescent="0.3">
      <c r="A5" t="s">
        <v>22</v>
      </c>
      <c r="B5" s="4">
        <v>0</v>
      </c>
      <c r="E5" s="6" t="s">
        <v>7</v>
      </c>
      <c r="F5" s="8">
        <f>B29</f>
        <v>3310580</v>
      </c>
    </row>
    <row r="6" spans="1:6" x14ac:dyDescent="0.3">
      <c r="A6" t="s">
        <v>23</v>
      </c>
      <c r="B6" s="4">
        <v>80000</v>
      </c>
      <c r="E6" s="6" t="s">
        <v>8</v>
      </c>
      <c r="F6" s="8">
        <f>B44</f>
        <v>3072536</v>
      </c>
    </row>
    <row r="7" spans="1:6" x14ac:dyDescent="0.3">
      <c r="A7" t="s">
        <v>24</v>
      </c>
      <c r="B7" s="4">
        <v>43000</v>
      </c>
      <c r="E7" s="6" t="s">
        <v>9</v>
      </c>
      <c r="F7" s="8">
        <f>B59</f>
        <v>3455498</v>
      </c>
    </row>
    <row r="8" spans="1:6" x14ac:dyDescent="0.3">
      <c r="A8" t="s">
        <v>25</v>
      </c>
      <c r="B8" s="4">
        <v>26000</v>
      </c>
      <c r="E8" s="6" t="s">
        <v>10</v>
      </c>
      <c r="F8" s="8">
        <f>B74</f>
        <v>3385952</v>
      </c>
    </row>
    <row r="9" spans="1:6" x14ac:dyDescent="0.3">
      <c r="A9" t="s">
        <v>26</v>
      </c>
      <c r="B9" s="4">
        <v>60000</v>
      </c>
      <c r="E9" s="6" t="s">
        <v>11</v>
      </c>
      <c r="F9" s="8">
        <f>B89</f>
        <v>3167049</v>
      </c>
    </row>
    <row r="10" spans="1:6" x14ac:dyDescent="0.3">
      <c r="A10" t="s">
        <v>27</v>
      </c>
      <c r="B10" s="4">
        <f>'1-GASTOS MERCADO 2025'!I3</f>
        <v>1323709</v>
      </c>
      <c r="E10" s="6" t="s">
        <v>12</v>
      </c>
      <c r="F10" s="8">
        <f>B104</f>
        <v>3337777</v>
      </c>
    </row>
    <row r="11" spans="1:6" x14ac:dyDescent="0.3">
      <c r="A11" t="s">
        <v>28</v>
      </c>
      <c r="B11" s="10">
        <v>642000</v>
      </c>
      <c r="E11" s="6" t="s">
        <v>13</v>
      </c>
      <c r="F11" s="8">
        <f>B119</f>
        <v>4465156</v>
      </c>
    </row>
    <row r="12" spans="1:6" x14ac:dyDescent="0.3">
      <c r="A12" t="s">
        <v>29</v>
      </c>
      <c r="B12" s="4">
        <v>0</v>
      </c>
      <c r="E12" s="6" t="s">
        <v>14</v>
      </c>
      <c r="F12" s="8">
        <f>B134</f>
        <v>5206932</v>
      </c>
    </row>
    <row r="13" spans="1:6" x14ac:dyDescent="0.3">
      <c r="A13" t="s">
        <v>47</v>
      </c>
      <c r="B13" s="4">
        <f>'2-GASTOS OCIO U OTROS'!B2</f>
        <v>11000200</v>
      </c>
      <c r="E13" s="6" t="s">
        <v>15</v>
      </c>
      <c r="F13" s="8">
        <f>B149</f>
        <v>6291127</v>
      </c>
    </row>
    <row r="14" spans="1:6" x14ac:dyDescent="0.3">
      <c r="A14" s="11" t="s">
        <v>30</v>
      </c>
      <c r="B14" s="12">
        <f>SUM(B2:B13)</f>
        <v>14057968</v>
      </c>
      <c r="E14" s="6" t="s">
        <v>16</v>
      </c>
      <c r="F14" s="8">
        <f>B164</f>
        <v>5725800</v>
      </c>
    </row>
    <row r="15" spans="1:6" x14ac:dyDescent="0.3">
      <c r="B15" s="4"/>
      <c r="E15" s="6" t="s">
        <v>17</v>
      </c>
      <c r="F15" s="8">
        <f>B178</f>
        <v>6068471</v>
      </c>
    </row>
    <row r="16" spans="1:6" x14ac:dyDescent="0.3">
      <c r="A16" s="9" t="s">
        <v>18</v>
      </c>
      <c r="B16" s="15" t="s">
        <v>1</v>
      </c>
    </row>
    <row r="17" spans="1:2" x14ac:dyDescent="0.3">
      <c r="A17" t="s">
        <v>19</v>
      </c>
      <c r="B17" s="4">
        <v>700000</v>
      </c>
    </row>
    <row r="18" spans="1:2" x14ac:dyDescent="0.3">
      <c r="A18" t="s">
        <v>20</v>
      </c>
      <c r="B18" s="4">
        <v>177590</v>
      </c>
    </row>
    <row r="19" spans="1:2" x14ac:dyDescent="0.3">
      <c r="A19" t="s">
        <v>21</v>
      </c>
      <c r="B19" s="4">
        <v>53329</v>
      </c>
    </row>
    <row r="20" spans="1:2" x14ac:dyDescent="0.3">
      <c r="A20" t="s">
        <v>22</v>
      </c>
      <c r="B20" s="4">
        <v>19960</v>
      </c>
    </row>
    <row r="21" spans="1:2" x14ac:dyDescent="0.3">
      <c r="A21" t="s">
        <v>23</v>
      </c>
      <c r="B21" s="4">
        <v>80000</v>
      </c>
    </row>
    <row r="22" spans="1:2" x14ac:dyDescent="0.3">
      <c r="A22" t="s">
        <v>24</v>
      </c>
      <c r="B22" s="4">
        <v>43000</v>
      </c>
    </row>
    <row r="23" spans="1:2" x14ac:dyDescent="0.3">
      <c r="A23" t="s">
        <v>25</v>
      </c>
      <c r="B23" s="4">
        <v>26000</v>
      </c>
    </row>
    <row r="24" spans="1:2" x14ac:dyDescent="0.3">
      <c r="A24" t="s">
        <v>26</v>
      </c>
      <c r="B24" s="4">
        <v>260000</v>
      </c>
    </row>
    <row r="25" spans="1:2" x14ac:dyDescent="0.3">
      <c r="A25" t="s">
        <v>27</v>
      </c>
      <c r="B25" s="4">
        <f>'1-GASTOS MERCADO 2025'!I4</f>
        <v>1174701</v>
      </c>
    </row>
    <row r="26" spans="1:2" x14ac:dyDescent="0.3">
      <c r="A26" t="s">
        <v>28</v>
      </c>
      <c r="B26" s="10">
        <v>642000</v>
      </c>
    </row>
    <row r="27" spans="1:2" x14ac:dyDescent="0.3">
      <c r="A27" t="s">
        <v>29</v>
      </c>
      <c r="B27" s="4">
        <v>0</v>
      </c>
    </row>
    <row r="28" spans="1:2" x14ac:dyDescent="0.3">
      <c r="A28" t="s">
        <v>47</v>
      </c>
      <c r="B28" s="4">
        <f>'2-GASTOS OCIO U OTROS'!K4</f>
        <v>134000</v>
      </c>
    </row>
    <row r="29" spans="1:2" x14ac:dyDescent="0.3">
      <c r="A29" s="11" t="s">
        <v>31</v>
      </c>
      <c r="B29" s="12">
        <f>SUM(B17:B28)</f>
        <v>3310580</v>
      </c>
    </row>
    <row r="30" spans="1:2" x14ac:dyDescent="0.3">
      <c r="B30" s="4"/>
    </row>
    <row r="31" spans="1:2" x14ac:dyDescent="0.3">
      <c r="A31" s="9" t="s">
        <v>18</v>
      </c>
      <c r="B31" s="15" t="s">
        <v>1</v>
      </c>
    </row>
    <row r="32" spans="1:2" x14ac:dyDescent="0.3">
      <c r="A32" t="s">
        <v>19</v>
      </c>
      <c r="B32" s="4">
        <v>700000</v>
      </c>
    </row>
    <row r="33" spans="1:5" x14ac:dyDescent="0.3">
      <c r="A33" t="s">
        <v>20</v>
      </c>
      <c r="B33" s="4">
        <v>195660</v>
      </c>
    </row>
    <row r="34" spans="1:5" x14ac:dyDescent="0.3">
      <c r="A34" t="s">
        <v>21</v>
      </c>
      <c r="B34" s="4">
        <v>57916</v>
      </c>
    </row>
    <row r="35" spans="1:5" x14ac:dyDescent="0.3">
      <c r="A35" t="s">
        <v>22</v>
      </c>
      <c r="B35" s="4">
        <v>50680</v>
      </c>
    </row>
    <row r="36" spans="1:5" x14ac:dyDescent="0.3">
      <c r="A36" t="s">
        <v>23</v>
      </c>
      <c r="B36" s="4">
        <v>80000</v>
      </c>
      <c r="E36" s="4"/>
    </row>
    <row r="37" spans="1:5" x14ac:dyDescent="0.3">
      <c r="A37" t="s">
        <v>24</v>
      </c>
      <c r="B37" s="4">
        <v>43000</v>
      </c>
    </row>
    <row r="38" spans="1:5" x14ac:dyDescent="0.3">
      <c r="A38" t="s">
        <v>25</v>
      </c>
      <c r="B38" s="4">
        <v>26000</v>
      </c>
    </row>
    <row r="39" spans="1:5" x14ac:dyDescent="0.3">
      <c r="A39" t="s">
        <v>26</v>
      </c>
      <c r="B39" s="4">
        <v>260000</v>
      </c>
    </row>
    <row r="40" spans="1:5" x14ac:dyDescent="0.3">
      <c r="A40" t="s">
        <v>27</v>
      </c>
      <c r="B40" s="4">
        <f>'1-GASTOS MERCADO 2025'!I5</f>
        <v>1439280</v>
      </c>
    </row>
    <row r="41" spans="1:5" x14ac:dyDescent="0.3">
      <c r="A41" t="s">
        <v>28</v>
      </c>
      <c r="B41" s="10">
        <v>0</v>
      </c>
    </row>
    <row r="42" spans="1:5" x14ac:dyDescent="0.3">
      <c r="A42" t="s">
        <v>29</v>
      </c>
      <c r="B42" s="4">
        <v>0</v>
      </c>
    </row>
    <row r="43" spans="1:5" x14ac:dyDescent="0.3">
      <c r="A43" t="s">
        <v>47</v>
      </c>
      <c r="B43" s="4">
        <f>'2-GASTOS OCIO U OTROS'!K5</f>
        <v>220000</v>
      </c>
    </row>
    <row r="44" spans="1:5" x14ac:dyDescent="0.3">
      <c r="A44" s="11" t="s">
        <v>32</v>
      </c>
      <c r="B44" s="12">
        <f>SUM(B32:B43)</f>
        <v>3072536</v>
      </c>
    </row>
    <row r="45" spans="1:5" x14ac:dyDescent="0.3">
      <c r="B45" s="4"/>
    </row>
    <row r="46" spans="1:5" x14ac:dyDescent="0.3">
      <c r="B46" s="4"/>
    </row>
    <row r="47" spans="1:5" x14ac:dyDescent="0.3">
      <c r="A47" s="9" t="s">
        <v>18</v>
      </c>
      <c r="B47" s="15" t="s">
        <v>1</v>
      </c>
    </row>
    <row r="48" spans="1:5" x14ac:dyDescent="0.3">
      <c r="A48" t="s">
        <v>19</v>
      </c>
      <c r="B48" s="4">
        <v>700000</v>
      </c>
    </row>
    <row r="49" spans="1:4" x14ac:dyDescent="0.3">
      <c r="A49" t="s">
        <v>20</v>
      </c>
      <c r="B49" s="4">
        <v>190460</v>
      </c>
    </row>
    <row r="50" spans="1:4" x14ac:dyDescent="0.3">
      <c r="A50" t="s">
        <v>21</v>
      </c>
      <c r="B50" s="4">
        <v>63539</v>
      </c>
      <c r="D50" s="4"/>
    </row>
    <row r="51" spans="1:4" x14ac:dyDescent="0.3">
      <c r="A51" t="s">
        <v>22</v>
      </c>
      <c r="B51" s="4">
        <v>61340</v>
      </c>
    </row>
    <row r="52" spans="1:4" x14ac:dyDescent="0.3">
      <c r="A52" t="s">
        <v>23</v>
      </c>
      <c r="B52" s="4">
        <v>80000</v>
      </c>
    </row>
    <row r="53" spans="1:4" x14ac:dyDescent="0.3">
      <c r="A53" t="s">
        <v>24</v>
      </c>
      <c r="B53" s="4">
        <v>45000</v>
      </c>
    </row>
    <row r="54" spans="1:4" x14ac:dyDescent="0.3">
      <c r="A54" t="s">
        <v>25</v>
      </c>
      <c r="B54" s="4">
        <v>26000</v>
      </c>
    </row>
    <row r="55" spans="1:4" x14ac:dyDescent="0.3">
      <c r="A55" t="s">
        <v>82</v>
      </c>
      <c r="B55" s="4">
        <v>260000</v>
      </c>
    </row>
    <row r="56" spans="1:4" x14ac:dyDescent="0.3">
      <c r="A56" t="s">
        <v>27</v>
      </c>
      <c r="B56" s="4">
        <f>'1-GASTOS MERCADO 2025'!I6</f>
        <v>1072159</v>
      </c>
    </row>
    <row r="57" spans="1:4" x14ac:dyDescent="0.3">
      <c r="A57" t="s">
        <v>28</v>
      </c>
      <c r="B57" s="10">
        <v>0</v>
      </c>
    </row>
    <row r="58" spans="1:4" x14ac:dyDescent="0.3">
      <c r="A58" t="s">
        <v>47</v>
      </c>
      <c r="B58" s="4">
        <f>'2-GASTOS OCIO U OTROS'!K6</f>
        <v>957000</v>
      </c>
    </row>
    <row r="59" spans="1:4" x14ac:dyDescent="0.3">
      <c r="A59" s="11" t="s">
        <v>33</v>
      </c>
      <c r="B59" s="12">
        <f>SUM(B48:B58)</f>
        <v>3455498</v>
      </c>
    </row>
    <row r="60" spans="1:4" x14ac:dyDescent="0.3">
      <c r="B60" s="4"/>
    </row>
    <row r="61" spans="1:4" x14ac:dyDescent="0.3">
      <c r="B61" s="4"/>
    </row>
    <row r="62" spans="1:4" x14ac:dyDescent="0.3">
      <c r="A62" s="9" t="s">
        <v>18</v>
      </c>
      <c r="B62" s="15" t="s">
        <v>1</v>
      </c>
    </row>
    <row r="63" spans="1:4" x14ac:dyDescent="0.3">
      <c r="A63" t="s">
        <v>19</v>
      </c>
      <c r="B63" s="4">
        <v>700000</v>
      </c>
    </row>
    <row r="64" spans="1:4" x14ac:dyDescent="0.3">
      <c r="A64" t="s">
        <v>20</v>
      </c>
      <c r="B64" s="4">
        <v>195090</v>
      </c>
    </row>
    <row r="65" spans="1:4" x14ac:dyDescent="0.3">
      <c r="A65" t="s">
        <v>21</v>
      </c>
      <c r="B65" s="4">
        <v>66351</v>
      </c>
    </row>
    <row r="66" spans="1:4" x14ac:dyDescent="0.3">
      <c r="A66" t="s">
        <v>22</v>
      </c>
      <c r="B66" s="4">
        <v>64890</v>
      </c>
    </row>
    <row r="67" spans="1:4" x14ac:dyDescent="0.3">
      <c r="A67" t="s">
        <v>23</v>
      </c>
      <c r="B67" s="4">
        <v>80000</v>
      </c>
      <c r="D67" s="4"/>
    </row>
    <row r="68" spans="1:4" x14ac:dyDescent="0.3">
      <c r="A68" t="s">
        <v>24</v>
      </c>
      <c r="B68" s="4">
        <v>45000</v>
      </c>
    </row>
    <row r="69" spans="1:4" x14ac:dyDescent="0.3">
      <c r="A69" t="s">
        <v>25</v>
      </c>
      <c r="B69" s="4">
        <v>26000</v>
      </c>
    </row>
    <row r="70" spans="1:4" x14ac:dyDescent="0.3">
      <c r="A70" t="s">
        <v>82</v>
      </c>
      <c r="B70" s="4">
        <v>260000</v>
      </c>
    </row>
    <row r="71" spans="1:4" x14ac:dyDescent="0.3">
      <c r="A71" t="s">
        <v>27</v>
      </c>
      <c r="B71" s="4">
        <f>'1-GASTOS MERCADO 2025'!I7</f>
        <v>1448121</v>
      </c>
    </row>
    <row r="72" spans="1:4" x14ac:dyDescent="0.3">
      <c r="A72" t="s">
        <v>28</v>
      </c>
      <c r="B72" s="10">
        <v>0</v>
      </c>
    </row>
    <row r="73" spans="1:4" x14ac:dyDescent="0.3">
      <c r="A73" t="s">
        <v>47</v>
      </c>
      <c r="B73" s="4">
        <f>'2-GASTOS OCIO U OTROS'!K7</f>
        <v>500500</v>
      </c>
    </row>
    <row r="74" spans="1:4" x14ac:dyDescent="0.3">
      <c r="A74" s="11" t="s">
        <v>34</v>
      </c>
      <c r="B74" s="12">
        <f>SUM(B63:B73)</f>
        <v>3385952</v>
      </c>
    </row>
    <row r="75" spans="1:4" x14ac:dyDescent="0.3">
      <c r="B75" s="4"/>
    </row>
    <row r="76" spans="1:4" x14ac:dyDescent="0.3">
      <c r="B76" s="4"/>
    </row>
    <row r="77" spans="1:4" x14ac:dyDescent="0.3">
      <c r="A77" s="9" t="s">
        <v>18</v>
      </c>
      <c r="B77" s="15" t="s">
        <v>1</v>
      </c>
    </row>
    <row r="78" spans="1:4" x14ac:dyDescent="0.3">
      <c r="A78" t="s">
        <v>19</v>
      </c>
      <c r="B78" s="4">
        <v>700000</v>
      </c>
    </row>
    <row r="79" spans="1:4" x14ac:dyDescent="0.3">
      <c r="A79" t="s">
        <v>20</v>
      </c>
      <c r="B79" s="4">
        <v>57916</v>
      </c>
    </row>
    <row r="80" spans="1:4" x14ac:dyDescent="0.3">
      <c r="A80" t="s">
        <v>21</v>
      </c>
      <c r="B80" s="4">
        <v>187340</v>
      </c>
    </row>
    <row r="81" spans="1:2" x14ac:dyDescent="0.3">
      <c r="A81" t="s">
        <v>22</v>
      </c>
      <c r="B81" s="4">
        <v>53990</v>
      </c>
    </row>
    <row r="82" spans="1:2" x14ac:dyDescent="0.3">
      <c r="A82" t="s">
        <v>23</v>
      </c>
      <c r="B82" s="4">
        <v>80000</v>
      </c>
    </row>
    <row r="83" spans="1:2" x14ac:dyDescent="0.3">
      <c r="A83" t="s">
        <v>24</v>
      </c>
      <c r="B83" s="4">
        <v>45000</v>
      </c>
    </row>
    <row r="84" spans="1:2" x14ac:dyDescent="0.3">
      <c r="A84" t="s">
        <v>25</v>
      </c>
      <c r="B84" s="4">
        <v>26000</v>
      </c>
    </row>
    <row r="85" spans="1:2" x14ac:dyDescent="0.3">
      <c r="A85" t="s">
        <v>82</v>
      </c>
      <c r="B85" s="4">
        <v>260000</v>
      </c>
    </row>
    <row r="86" spans="1:2" x14ac:dyDescent="0.3">
      <c r="A86" t="s">
        <v>27</v>
      </c>
      <c r="B86" s="4">
        <f>'1-GASTOS MERCADO 2025'!I8</f>
        <v>1492803</v>
      </c>
    </row>
    <row r="87" spans="1:2" x14ac:dyDescent="0.3">
      <c r="A87" t="s">
        <v>113</v>
      </c>
      <c r="B87" s="10">
        <v>60000</v>
      </c>
    </row>
    <row r="88" spans="1:2" x14ac:dyDescent="0.3">
      <c r="A88" t="s">
        <v>47</v>
      </c>
      <c r="B88" s="4">
        <f>'2-GASTOS OCIO U OTROS'!K8</f>
        <v>204000</v>
      </c>
    </row>
    <row r="89" spans="1:2" x14ac:dyDescent="0.3">
      <c r="A89" s="11" t="s">
        <v>36</v>
      </c>
      <c r="B89" s="12">
        <f>SUM(B78:B88)</f>
        <v>3167049</v>
      </c>
    </row>
    <row r="90" spans="1:2" x14ac:dyDescent="0.3">
      <c r="B90" s="4"/>
    </row>
    <row r="91" spans="1:2" x14ac:dyDescent="0.3">
      <c r="B91" s="4"/>
    </row>
    <row r="92" spans="1:2" x14ac:dyDescent="0.3">
      <c r="A92" s="9" t="s">
        <v>18</v>
      </c>
      <c r="B92" s="15" t="s">
        <v>1</v>
      </c>
    </row>
    <row r="93" spans="1:2" x14ac:dyDescent="0.3">
      <c r="A93" t="s">
        <v>19</v>
      </c>
      <c r="B93" s="4">
        <v>750000</v>
      </c>
    </row>
    <row r="94" spans="1:2" x14ac:dyDescent="0.3">
      <c r="A94" t="s">
        <v>20</v>
      </c>
      <c r="B94" s="4">
        <v>179030</v>
      </c>
    </row>
    <row r="95" spans="1:2" x14ac:dyDescent="0.3">
      <c r="A95" t="s">
        <v>21</v>
      </c>
      <c r="B95" s="4">
        <v>60728</v>
      </c>
    </row>
    <row r="96" spans="1:2" x14ac:dyDescent="0.3">
      <c r="A96" t="s">
        <v>22</v>
      </c>
      <c r="B96" s="4">
        <v>51920</v>
      </c>
    </row>
    <row r="97" spans="1:2" x14ac:dyDescent="0.3">
      <c r="A97" t="s">
        <v>23</v>
      </c>
      <c r="B97" s="4">
        <v>80000</v>
      </c>
    </row>
    <row r="98" spans="1:2" x14ac:dyDescent="0.3">
      <c r="A98" t="s">
        <v>24</v>
      </c>
      <c r="B98" s="4">
        <v>45000</v>
      </c>
    </row>
    <row r="99" spans="1:2" x14ac:dyDescent="0.3">
      <c r="A99" t="s">
        <v>25</v>
      </c>
      <c r="B99" s="4">
        <v>26000</v>
      </c>
    </row>
    <row r="100" spans="1:2" x14ac:dyDescent="0.3">
      <c r="A100" t="s">
        <v>82</v>
      </c>
      <c r="B100" s="4">
        <v>260000</v>
      </c>
    </row>
    <row r="101" spans="1:2" x14ac:dyDescent="0.3">
      <c r="A101" t="s">
        <v>27</v>
      </c>
      <c r="B101" s="4">
        <f>'1-GASTOS MERCADO 2025'!I9</f>
        <v>1678099</v>
      </c>
    </row>
    <row r="102" spans="1:2" x14ac:dyDescent="0.3">
      <c r="A102" t="s">
        <v>123</v>
      </c>
      <c r="B102" s="10">
        <v>60000</v>
      </c>
    </row>
    <row r="103" spans="1:2" x14ac:dyDescent="0.3">
      <c r="A103" t="s">
        <v>47</v>
      </c>
      <c r="B103" s="4">
        <f>'2-GASTOS OCIO U OTROS'!K9</f>
        <v>147000</v>
      </c>
    </row>
    <row r="104" spans="1:2" x14ac:dyDescent="0.3">
      <c r="A104" s="11" t="s">
        <v>37</v>
      </c>
      <c r="B104" s="12">
        <f>SUM(B93:B103)</f>
        <v>3337777</v>
      </c>
    </row>
    <row r="105" spans="1:2" x14ac:dyDescent="0.3">
      <c r="B105" s="4"/>
    </row>
    <row r="106" spans="1:2" x14ac:dyDescent="0.3">
      <c r="B106" s="4"/>
    </row>
    <row r="107" spans="1:2" x14ac:dyDescent="0.3">
      <c r="A107" s="9" t="s">
        <v>18</v>
      </c>
      <c r="B107" s="15" t="s">
        <v>1</v>
      </c>
    </row>
    <row r="108" spans="1:2" x14ac:dyDescent="0.3">
      <c r="A108" t="s">
        <v>19</v>
      </c>
      <c r="B108" s="4">
        <v>750000</v>
      </c>
    </row>
    <row r="109" spans="1:2" x14ac:dyDescent="0.3">
      <c r="A109" t="s">
        <v>20</v>
      </c>
      <c r="B109" s="4">
        <v>212020</v>
      </c>
    </row>
    <row r="110" spans="1:2" x14ac:dyDescent="0.3">
      <c r="A110" t="s">
        <v>21</v>
      </c>
      <c r="B110" s="4">
        <v>63539</v>
      </c>
    </row>
    <row r="111" spans="1:2" x14ac:dyDescent="0.3">
      <c r="A111" t="s">
        <v>22</v>
      </c>
      <c r="B111" s="4">
        <v>51930</v>
      </c>
    </row>
    <row r="112" spans="1:2" x14ac:dyDescent="0.3">
      <c r="A112" t="s">
        <v>23</v>
      </c>
      <c r="B112" s="4">
        <v>80000</v>
      </c>
    </row>
    <row r="113" spans="1:2" x14ac:dyDescent="0.3">
      <c r="A113" t="s">
        <v>24</v>
      </c>
      <c r="B113" s="4">
        <v>45000</v>
      </c>
    </row>
    <row r="114" spans="1:2" x14ac:dyDescent="0.3">
      <c r="A114" t="s">
        <v>25</v>
      </c>
      <c r="B114" s="4">
        <v>26000</v>
      </c>
    </row>
    <row r="115" spans="1:2" x14ac:dyDescent="0.3">
      <c r="A115" t="s">
        <v>82</v>
      </c>
      <c r="B115" s="4">
        <v>260000</v>
      </c>
    </row>
    <row r="116" spans="1:2" x14ac:dyDescent="0.3">
      <c r="A116" t="s">
        <v>27</v>
      </c>
      <c r="B116" s="4">
        <f>'1-GASTOS MERCADO 2025'!I10</f>
        <v>2203667</v>
      </c>
    </row>
    <row r="117" spans="1:2" x14ac:dyDescent="0.3">
      <c r="A117" t="s">
        <v>122</v>
      </c>
      <c r="B117" s="10">
        <v>208000</v>
      </c>
    </row>
    <row r="118" spans="1:2" x14ac:dyDescent="0.3">
      <c r="A118" t="s">
        <v>47</v>
      </c>
      <c r="B118" s="4">
        <f>'2-GASTOS OCIO U OTROS'!K10</f>
        <v>565000</v>
      </c>
    </row>
    <row r="119" spans="1:2" x14ac:dyDescent="0.3">
      <c r="A119" s="11" t="s">
        <v>38</v>
      </c>
      <c r="B119" s="12">
        <f>SUM(B108:B118)</f>
        <v>4465156</v>
      </c>
    </row>
    <row r="120" spans="1:2" x14ac:dyDescent="0.3">
      <c r="B120" s="4"/>
    </row>
    <row r="121" spans="1:2" x14ac:dyDescent="0.3">
      <c r="B121" s="4"/>
    </row>
    <row r="122" spans="1:2" x14ac:dyDescent="0.3">
      <c r="A122" s="9" t="s">
        <v>18</v>
      </c>
      <c r="B122" s="15" t="s">
        <v>1</v>
      </c>
    </row>
    <row r="123" spans="1:2" x14ac:dyDescent="0.3">
      <c r="A123" t="s">
        <v>19</v>
      </c>
      <c r="B123" s="4">
        <v>750000</v>
      </c>
    </row>
    <row r="124" spans="1:2" x14ac:dyDescent="0.3">
      <c r="A124" t="s">
        <v>20</v>
      </c>
      <c r="B124" s="4">
        <v>239060</v>
      </c>
    </row>
    <row r="125" spans="1:2" x14ac:dyDescent="0.3">
      <c r="A125" t="s">
        <v>21</v>
      </c>
      <c r="B125" s="4">
        <v>71260</v>
      </c>
    </row>
    <row r="126" spans="1:2" x14ac:dyDescent="0.3">
      <c r="A126" t="s">
        <v>22</v>
      </c>
      <c r="B126" s="4">
        <v>50390</v>
      </c>
    </row>
    <row r="127" spans="1:2" x14ac:dyDescent="0.3">
      <c r="A127" t="s">
        <v>23</v>
      </c>
      <c r="B127" s="4">
        <v>80000</v>
      </c>
    </row>
    <row r="128" spans="1:2" x14ac:dyDescent="0.3">
      <c r="A128" t="s">
        <v>24</v>
      </c>
      <c r="B128" s="4">
        <v>45000</v>
      </c>
    </row>
    <row r="129" spans="1:4" x14ac:dyDescent="0.3">
      <c r="A129" t="s">
        <v>25</v>
      </c>
      <c r="B129" s="4">
        <v>26000</v>
      </c>
    </row>
    <row r="130" spans="1:4" x14ac:dyDescent="0.3">
      <c r="A130" t="s">
        <v>137</v>
      </c>
      <c r="B130" s="4">
        <v>1624000</v>
      </c>
    </row>
    <row r="131" spans="1:4" x14ac:dyDescent="0.3">
      <c r="A131" t="s">
        <v>27</v>
      </c>
      <c r="B131" s="4">
        <f>SUM('1-GASTOS MERCADO 2025'!I11)</f>
        <v>1973222</v>
      </c>
    </row>
    <row r="132" spans="1:4" x14ac:dyDescent="0.3">
      <c r="A132" t="s">
        <v>28</v>
      </c>
      <c r="B132" s="10">
        <v>0</v>
      </c>
    </row>
    <row r="133" spans="1:4" x14ac:dyDescent="0.3">
      <c r="A133" t="s">
        <v>35</v>
      </c>
      <c r="B133" s="4">
        <f>'2-GASTOS OCIO U OTROS'!K11</f>
        <v>348000</v>
      </c>
    </row>
    <row r="134" spans="1:4" x14ac:dyDescent="0.3">
      <c r="A134" s="11" t="s">
        <v>39</v>
      </c>
      <c r="B134" s="12">
        <f>SUM(B123:B133)</f>
        <v>5206932</v>
      </c>
    </row>
    <row r="135" spans="1:4" x14ac:dyDescent="0.3">
      <c r="B135" s="4"/>
    </row>
    <row r="136" spans="1:4" x14ac:dyDescent="0.3">
      <c r="B136" s="4"/>
    </row>
    <row r="137" spans="1:4" x14ac:dyDescent="0.3">
      <c r="A137" s="9" t="s">
        <v>18</v>
      </c>
      <c r="B137" s="15" t="s">
        <v>1</v>
      </c>
    </row>
    <row r="138" spans="1:4" x14ac:dyDescent="0.3">
      <c r="A138" t="s">
        <v>19</v>
      </c>
      <c r="B138" s="4">
        <v>750000</v>
      </c>
    </row>
    <row r="139" spans="1:4" x14ac:dyDescent="0.3">
      <c r="A139" t="s">
        <v>20</v>
      </c>
      <c r="B139" s="4">
        <v>231420</v>
      </c>
    </row>
    <row r="140" spans="1:4" x14ac:dyDescent="0.3">
      <c r="A140" t="s">
        <v>21</v>
      </c>
      <c r="B140" s="4">
        <v>79950</v>
      </c>
    </row>
    <row r="141" spans="1:4" x14ac:dyDescent="0.3">
      <c r="A141" t="s">
        <v>22</v>
      </c>
      <c r="B141" s="4">
        <v>80570</v>
      </c>
    </row>
    <row r="142" spans="1:4" x14ac:dyDescent="0.3">
      <c r="A142" t="s">
        <v>23</v>
      </c>
      <c r="B142" s="4">
        <v>80000</v>
      </c>
      <c r="D142" s="4"/>
    </row>
    <row r="143" spans="1:4" x14ac:dyDescent="0.3">
      <c r="A143" t="s">
        <v>24</v>
      </c>
      <c r="B143" s="4">
        <v>45000</v>
      </c>
    </row>
    <row r="144" spans="1:4" x14ac:dyDescent="0.3">
      <c r="A144" t="s">
        <v>25</v>
      </c>
      <c r="B144" s="4">
        <v>26000</v>
      </c>
    </row>
    <row r="145" spans="1:2" x14ac:dyDescent="0.3">
      <c r="A145" t="s">
        <v>137</v>
      </c>
      <c r="B145" s="4">
        <v>1624000</v>
      </c>
    </row>
    <row r="146" spans="1:2" x14ac:dyDescent="0.3">
      <c r="A146" t="s">
        <v>27</v>
      </c>
      <c r="B146" s="4">
        <f>'1-GASTOS MERCADO 2025'!I12</f>
        <v>3202187</v>
      </c>
    </row>
    <row r="147" spans="1:2" x14ac:dyDescent="0.3">
      <c r="A147" t="s">
        <v>28</v>
      </c>
      <c r="B147" s="10">
        <v>0</v>
      </c>
    </row>
    <row r="148" spans="1:2" x14ac:dyDescent="0.3">
      <c r="A148" t="s">
        <v>35</v>
      </c>
      <c r="B148" s="4">
        <f>'2-GASTOS OCIO U OTROS'!K12</f>
        <v>172000</v>
      </c>
    </row>
    <row r="149" spans="1:2" x14ac:dyDescent="0.3">
      <c r="A149" s="11" t="s">
        <v>40</v>
      </c>
      <c r="B149" s="12">
        <f>SUM(B138:B148)</f>
        <v>6291127</v>
      </c>
    </row>
    <row r="150" spans="1:2" x14ac:dyDescent="0.3">
      <c r="B150" s="4"/>
    </row>
    <row r="151" spans="1:2" x14ac:dyDescent="0.3">
      <c r="B151" s="4"/>
    </row>
    <row r="152" spans="1:2" x14ac:dyDescent="0.3">
      <c r="A152" s="9" t="s">
        <v>18</v>
      </c>
      <c r="B152" s="15" t="s">
        <v>1</v>
      </c>
    </row>
    <row r="153" spans="1:2" x14ac:dyDescent="0.3">
      <c r="A153" t="s">
        <v>19</v>
      </c>
      <c r="B153" s="4">
        <v>750000</v>
      </c>
    </row>
    <row r="154" spans="1:2" x14ac:dyDescent="0.3">
      <c r="A154" t="s">
        <v>20</v>
      </c>
      <c r="B154" s="4">
        <v>257710</v>
      </c>
    </row>
    <row r="155" spans="1:2" x14ac:dyDescent="0.3">
      <c r="A155" t="s">
        <v>21</v>
      </c>
      <c r="B155" s="4">
        <v>77054</v>
      </c>
    </row>
    <row r="156" spans="1:2" x14ac:dyDescent="0.3">
      <c r="A156" t="s">
        <v>22</v>
      </c>
      <c r="B156" s="4">
        <v>54620</v>
      </c>
    </row>
    <row r="157" spans="1:2" x14ac:dyDescent="0.3">
      <c r="A157" t="s">
        <v>23</v>
      </c>
      <c r="B157" s="4">
        <v>80000</v>
      </c>
    </row>
    <row r="158" spans="1:2" x14ac:dyDescent="0.3">
      <c r="A158" t="s">
        <v>24</v>
      </c>
      <c r="B158" s="4">
        <v>45000</v>
      </c>
    </row>
    <row r="159" spans="1:2" x14ac:dyDescent="0.3">
      <c r="A159" t="s">
        <v>25</v>
      </c>
      <c r="B159" s="4">
        <v>26000</v>
      </c>
    </row>
    <row r="160" spans="1:2" x14ac:dyDescent="0.3">
      <c r="A160" t="s">
        <v>137</v>
      </c>
      <c r="B160" s="4">
        <v>1624000</v>
      </c>
    </row>
    <row r="161" spans="1:2" x14ac:dyDescent="0.3">
      <c r="A161" t="s">
        <v>27</v>
      </c>
      <c r="B161" s="4">
        <f>'1-GASTOS MERCADO 2025'!I13</f>
        <v>2489416</v>
      </c>
    </row>
    <row r="162" spans="1:2" x14ac:dyDescent="0.3">
      <c r="A162" t="s">
        <v>28</v>
      </c>
      <c r="B162" s="10">
        <v>0</v>
      </c>
    </row>
    <row r="163" spans="1:2" x14ac:dyDescent="0.3">
      <c r="A163" t="s">
        <v>35</v>
      </c>
      <c r="B163" s="4">
        <f>'2-GASTOS OCIO U OTROS'!K13</f>
        <v>322000</v>
      </c>
    </row>
    <row r="164" spans="1:2" x14ac:dyDescent="0.3">
      <c r="A164" s="11" t="s">
        <v>41</v>
      </c>
      <c r="B164" s="12">
        <f>SUM(B153:B163)</f>
        <v>5725800</v>
      </c>
    </row>
    <row r="165" spans="1:2" x14ac:dyDescent="0.3">
      <c r="B165" s="4"/>
    </row>
    <row r="166" spans="1:2" x14ac:dyDescent="0.3">
      <c r="B166" s="4"/>
    </row>
    <row r="167" spans="1:2" x14ac:dyDescent="0.3">
      <c r="A167" s="9" t="s">
        <v>18</v>
      </c>
      <c r="B167" s="15" t="s">
        <v>1</v>
      </c>
    </row>
    <row r="168" spans="1:2" x14ac:dyDescent="0.3">
      <c r="A168" t="s">
        <v>19</v>
      </c>
      <c r="B168" s="4">
        <v>700000</v>
      </c>
    </row>
    <row r="169" spans="1:2" x14ac:dyDescent="0.3">
      <c r="A169" t="s">
        <v>20</v>
      </c>
      <c r="B169" s="4">
        <v>245810</v>
      </c>
    </row>
    <row r="170" spans="1:2" x14ac:dyDescent="0.3">
      <c r="A170" t="s">
        <v>21</v>
      </c>
      <c r="B170" s="4">
        <v>71260</v>
      </c>
    </row>
    <row r="171" spans="1:2" x14ac:dyDescent="0.3">
      <c r="A171" t="s">
        <v>22</v>
      </c>
      <c r="B171" s="4">
        <v>166080</v>
      </c>
    </row>
    <row r="172" spans="1:2" x14ac:dyDescent="0.3">
      <c r="A172" t="s">
        <v>23</v>
      </c>
      <c r="B172" s="4">
        <v>80000</v>
      </c>
    </row>
    <row r="173" spans="1:2" x14ac:dyDescent="0.3">
      <c r="A173" t="s">
        <v>24</v>
      </c>
      <c r="B173" s="4">
        <v>45000</v>
      </c>
    </row>
    <row r="174" spans="1:2" x14ac:dyDescent="0.3">
      <c r="A174" t="s">
        <v>25</v>
      </c>
      <c r="B174" s="4">
        <v>26000</v>
      </c>
    </row>
    <row r="175" spans="1:2" x14ac:dyDescent="0.3">
      <c r="A175" t="s">
        <v>137</v>
      </c>
      <c r="B175" s="4">
        <v>1624000</v>
      </c>
    </row>
    <row r="176" spans="1:2" x14ac:dyDescent="0.3">
      <c r="A176" t="s">
        <v>27</v>
      </c>
      <c r="B176" s="4">
        <f>'1-GASTOS MERCADO 2025'!I14</f>
        <v>2271421</v>
      </c>
    </row>
    <row r="177" spans="1:2" x14ac:dyDescent="0.3">
      <c r="A177" t="s">
        <v>258</v>
      </c>
      <c r="B177" s="4">
        <f>'2-GASTOS OCIO U OTROS'!K14</f>
        <v>838900</v>
      </c>
    </row>
    <row r="178" spans="1:2" x14ac:dyDescent="0.3">
      <c r="A178" s="11" t="s">
        <v>44</v>
      </c>
      <c r="B178" s="12">
        <f>SUM(B168:B177)</f>
        <v>6068471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7" tint="0.39997558519241921"/>
  </sheetPr>
  <dimension ref="A1:E14"/>
  <sheetViews>
    <sheetView showGridLines="0" tabSelected="1" zoomScale="90" zoomScaleNormal="90" workbookViewId="0">
      <selection activeCell="B14" sqref="B14"/>
    </sheetView>
  </sheetViews>
  <sheetFormatPr baseColWidth="10" defaultColWidth="11.44140625" defaultRowHeight="14.4" x14ac:dyDescent="0.3"/>
  <cols>
    <col min="1" max="1" width="18.109375" style="21" customWidth="1"/>
    <col min="2" max="3" width="11.44140625" style="21"/>
    <col min="4" max="4" width="25" style="21" customWidth="1"/>
    <col min="5" max="5" width="25.33203125" style="21" customWidth="1"/>
    <col min="6" max="16384" width="11.44140625" style="21"/>
  </cols>
  <sheetData>
    <row r="1" spans="1:5" x14ac:dyDescent="0.3">
      <c r="A1" s="20" t="s">
        <v>3</v>
      </c>
      <c r="B1" s="20" t="s">
        <v>42</v>
      </c>
      <c r="C1" s="20" t="s">
        <v>43</v>
      </c>
      <c r="D1" s="20" t="s">
        <v>183</v>
      </c>
      <c r="E1" s="20" t="s">
        <v>189</v>
      </c>
    </row>
    <row r="2" spans="1:5" x14ac:dyDescent="0.3">
      <c r="A2" s="22" t="s">
        <v>6</v>
      </c>
      <c r="B2" s="23">
        <v>14060000</v>
      </c>
      <c r="C2" s="23">
        <f>'3-TOTAL GASTOS Y SSPP'!B14</f>
        <v>14057968</v>
      </c>
      <c r="D2" s="39"/>
      <c r="E2" s="39"/>
    </row>
    <row r="3" spans="1:5" x14ac:dyDescent="0.3">
      <c r="A3" s="24" t="s">
        <v>7</v>
      </c>
      <c r="B3" s="23">
        <v>3500000</v>
      </c>
      <c r="C3" s="23">
        <f>'3-TOTAL GASTOS Y SSPP'!B29</f>
        <v>3310580</v>
      </c>
      <c r="D3" s="40">
        <f t="shared" ref="D3:D13" si="0">(C3-C2)/C3</f>
        <v>-3.246376163693371</v>
      </c>
      <c r="E3" s="41" t="str">
        <f>IF(D3&lt;0,"BAJÓ EL GASTO",IF(D3=0,"GASTO ESTABLE","SUBIÓ EL GASTO"))</f>
        <v>BAJÓ EL GASTO</v>
      </c>
    </row>
    <row r="4" spans="1:5" x14ac:dyDescent="0.3">
      <c r="A4" s="24" t="s">
        <v>8</v>
      </c>
      <c r="B4" s="23">
        <v>3500000</v>
      </c>
      <c r="C4" s="23">
        <f>'3-TOTAL GASTOS Y SSPP'!B44</f>
        <v>3072536</v>
      </c>
      <c r="D4" s="40">
        <f t="shared" si="0"/>
        <v>-7.7474763517823717E-2</v>
      </c>
      <c r="E4" s="41" t="str">
        <f t="shared" ref="E4:E13" si="1">IF(D4&lt;0,"BAJÓ EL GASTO",IF(D4=0,"GASTO ESTABLE","SUBIÓ EL GASTO"))</f>
        <v>BAJÓ EL GASTO</v>
      </c>
    </row>
    <row r="5" spans="1:5" x14ac:dyDescent="0.3">
      <c r="A5" s="24" t="s">
        <v>9</v>
      </c>
      <c r="B5" s="23">
        <v>3500000</v>
      </c>
      <c r="C5" s="23">
        <f>'3-TOTAL GASTOS Y SSPP'!B59</f>
        <v>3455498</v>
      </c>
      <c r="D5" s="40">
        <f t="shared" si="0"/>
        <v>0.11082686200368225</v>
      </c>
      <c r="E5" s="41" t="str">
        <f t="shared" si="1"/>
        <v>SUBIÓ EL GASTO</v>
      </c>
    </row>
    <row r="6" spans="1:5" x14ac:dyDescent="0.3">
      <c r="A6" s="24" t="s">
        <v>10</v>
      </c>
      <c r="B6" s="23">
        <v>3500000</v>
      </c>
      <c r="C6" s="23">
        <f>'3-TOTAL GASTOS Y SSPP'!B74</f>
        <v>3385952</v>
      </c>
      <c r="D6" s="40">
        <f t="shared" si="0"/>
        <v>-2.0539570555046262E-2</v>
      </c>
      <c r="E6" s="41" t="str">
        <f t="shared" si="1"/>
        <v>BAJÓ EL GASTO</v>
      </c>
    </row>
    <row r="7" spans="1:5" x14ac:dyDescent="0.3">
      <c r="A7" s="24" t="s">
        <v>11</v>
      </c>
      <c r="B7" s="23">
        <v>3500000</v>
      </c>
      <c r="C7" s="23">
        <f>'3-TOTAL GASTOS Y SSPP'!B89</f>
        <v>3167049</v>
      </c>
      <c r="D7" s="40">
        <f t="shared" si="0"/>
        <v>-6.9118917958010756E-2</v>
      </c>
      <c r="E7" s="41" t="str">
        <f t="shared" si="1"/>
        <v>BAJÓ EL GASTO</v>
      </c>
    </row>
    <row r="8" spans="1:5" x14ac:dyDescent="0.3">
      <c r="A8" s="24" t="s">
        <v>12</v>
      </c>
      <c r="B8" s="23">
        <v>3700000</v>
      </c>
      <c r="C8" s="23">
        <f>'3-TOTAL GASTOS Y SSPP'!B104</f>
        <v>3337777</v>
      </c>
      <c r="D8" s="40">
        <f t="shared" si="0"/>
        <v>5.1150211652845591E-2</v>
      </c>
      <c r="E8" s="41" t="str">
        <f t="shared" si="1"/>
        <v>SUBIÓ EL GASTO</v>
      </c>
    </row>
    <row r="9" spans="1:5" x14ac:dyDescent="0.3">
      <c r="A9" s="24" t="s">
        <v>13</v>
      </c>
      <c r="B9" s="23">
        <v>4470000</v>
      </c>
      <c r="C9" s="23">
        <f>'3-TOTAL GASTOS Y SSPP'!B119</f>
        <v>4465156</v>
      </c>
      <c r="D9" s="40">
        <f t="shared" si="0"/>
        <v>0.25248367582230052</v>
      </c>
      <c r="E9" s="41" t="str">
        <f t="shared" si="1"/>
        <v>SUBIÓ EL GASTO</v>
      </c>
    </row>
    <row r="10" spans="1:5" x14ac:dyDescent="0.3">
      <c r="A10" s="24" t="s">
        <v>14</v>
      </c>
      <c r="B10" s="23">
        <v>5220000</v>
      </c>
      <c r="C10" s="23">
        <f>'3-TOTAL GASTOS Y SSPP'!B134</f>
        <v>5206932</v>
      </c>
      <c r="D10" s="40">
        <f t="shared" si="0"/>
        <v>0.14245932153521498</v>
      </c>
      <c r="E10" s="41" t="str">
        <f t="shared" si="1"/>
        <v>SUBIÓ EL GASTO</v>
      </c>
    </row>
    <row r="11" spans="1:5" x14ac:dyDescent="0.3">
      <c r="A11" s="24" t="s">
        <v>15</v>
      </c>
      <c r="B11" s="23">
        <v>6200000</v>
      </c>
      <c r="C11" s="23">
        <f>'3-TOTAL GASTOS Y SSPP'!B149</f>
        <v>6291127</v>
      </c>
      <c r="D11" s="40">
        <f t="shared" si="0"/>
        <v>0.17233716629786683</v>
      </c>
      <c r="E11" s="41" t="str">
        <f t="shared" si="1"/>
        <v>SUBIÓ EL GASTO</v>
      </c>
    </row>
    <row r="12" spans="1:5" x14ac:dyDescent="0.3">
      <c r="A12" s="24" t="s">
        <v>16</v>
      </c>
      <c r="B12" s="23">
        <v>5730000</v>
      </c>
      <c r="C12" s="23">
        <f>'3-TOTAL GASTOS Y SSPP'!B164</f>
        <v>5725800</v>
      </c>
      <c r="D12" s="40">
        <f t="shared" si="0"/>
        <v>-9.8733277445946413E-2</v>
      </c>
      <c r="E12" s="41" t="str">
        <f t="shared" si="1"/>
        <v>BAJÓ EL GASTO</v>
      </c>
    </row>
    <row r="13" spans="1:5" x14ac:dyDescent="0.3">
      <c r="A13" s="24" t="s">
        <v>17</v>
      </c>
      <c r="B13" s="23">
        <v>6070000</v>
      </c>
      <c r="C13" s="23">
        <f>'3-TOTAL GASTOS Y SSPP'!B178</f>
        <v>6068471</v>
      </c>
      <c r="D13" s="40">
        <f t="shared" si="0"/>
        <v>5.6467436360823013E-2</v>
      </c>
      <c r="E13" s="41" t="str">
        <f t="shared" si="1"/>
        <v>SUBIÓ EL GASTO</v>
      </c>
    </row>
    <row r="14" spans="1:5" x14ac:dyDescent="0.3">
      <c r="A14" s="27" t="s">
        <v>97</v>
      </c>
      <c r="B14" s="28">
        <f>SUM(B2:B13)</f>
        <v>62950000</v>
      </c>
      <c r="C14" s="28">
        <f>SUM(C2:C13)</f>
        <v>61544846</v>
      </c>
    </row>
  </sheetData>
  <conditionalFormatting sqref="E2:E13">
    <cfRule type="containsText" dxfId="2" priority="1" operator="containsText" text="GASTO ESTABLE">
      <formula>NOT(ISERROR(SEARCH("GASTO ESTABLE",E2)))</formula>
    </cfRule>
    <cfRule type="containsText" dxfId="1" priority="2" operator="containsText" text="BAJÓ EL GASTO">
      <formula>NOT(ISERROR(SEARCH("BAJÓ EL GASTO",E2)))</formula>
    </cfRule>
    <cfRule type="containsText" dxfId="0" priority="3" operator="containsText" text="SUBIÓ EL GASTO">
      <formula>NOT(ISERROR(SEARCH("SUBIÓ EL GASTO",E2)))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1-GASTOS MERCADO 2025</vt:lpstr>
      <vt:lpstr>2-GASTOS OCIO U OTROS</vt:lpstr>
      <vt:lpstr>3-TOTAL GASTOS Y SSPP</vt:lpstr>
      <vt:lpstr>4-RESULTADOS TOTALES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 FERNÁNDEZ</dc:creator>
  <cp:keywords/>
  <dc:description/>
  <cp:lastModifiedBy>WAGNER ALONSO FERNANDEZ VILLALOBOS</cp:lastModifiedBy>
  <cp:revision/>
  <dcterms:created xsi:type="dcterms:W3CDTF">2015-06-05T18:19:34Z</dcterms:created>
  <dcterms:modified xsi:type="dcterms:W3CDTF">2026-01-01T14:17:19Z</dcterms:modified>
  <cp:category/>
  <cp:contentStatus/>
</cp:coreProperties>
</file>